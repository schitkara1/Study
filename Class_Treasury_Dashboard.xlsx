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17B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Fundraiser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Calc" sheetId="6" state="hidden" r:id="rId6"/>
  </sheets>
  <definedNames>
    <definedName name="_xlnm.Print_Area" localSheetId="0">'Dashboard'!$A$1:$N$55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&quot;–&quot;"/>
    <numFmt numFmtId="165" formatCode="yyyy-mm-dd"/>
    <numFmt numFmtId="166" formatCode="mmm d, yyyy"/>
    <numFmt numFmtId="167" formatCode="+$#,##0;-$#,##0;&quot;&quot;"/>
    <numFmt numFmtId="168" formatCode="mmm yyyy"/>
    <numFmt numFmtId="169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B6B6B"/>
      <sz val="9"/>
    </font>
    <font>
      <name val="Arial"/>
      <b val="1"/>
      <color rgb="000B0B0B"/>
      <sz val="10"/>
    </font>
    <font>
      <name val="Arial"/>
      <color rgb="000000FF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B0B0B"/>
      <sz val="10"/>
    </font>
    <font>
      <name val="Arial"/>
      <b val="1"/>
      <color rgb="001F3864"/>
      <sz val="22"/>
    </font>
    <font>
      <name val="Arial"/>
      <color rgb="006B6B6B"/>
      <sz val="10"/>
    </font>
    <font>
      <name val="Arial"/>
      <b val="1"/>
      <color rgb="006B6B6B"/>
      <sz val="8"/>
    </font>
    <font>
      <name val="Arial"/>
      <b val="1"/>
      <color rgb="002A78D6"/>
      <sz val="20"/>
    </font>
    <font>
      <name val="Arial"/>
      <color rgb="006B6B6B"/>
      <sz val="9"/>
    </font>
    <font>
      <name val="Arial"/>
      <b val="1"/>
      <color rgb="001F3864"/>
      <sz val="20"/>
    </font>
    <font>
      <name val="Arial"/>
      <b val="1"/>
      <color rgb="001E7B4F"/>
      <sz val="20"/>
    </font>
    <font>
      <name val="Arial"/>
      <b val="1"/>
      <color rgb="00C0392B"/>
      <sz val="20"/>
    </font>
    <font>
      <name val="Arial"/>
      <b val="1"/>
      <color rgb="006B6B6B"/>
      <sz val="9"/>
    </font>
    <font>
      <name val="Arial"/>
      <color rgb="002A78D6"/>
      <sz val="12"/>
    </font>
    <font>
      <name val="Arial"/>
      <b val="1"/>
      <color rgb="001F3864"/>
      <sz val="10"/>
    </font>
    <font>
      <name val="Arial"/>
      <i val="1"/>
      <color rgb="006B6B6B"/>
      <sz val="8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8E1"/>
        <bgColor rgb="00FFF8E1"/>
      </patternFill>
    </fill>
    <fill>
      <patternFill patternType="solid">
        <fgColor rgb="001F3864"/>
        <bgColor rgb="001F3864"/>
      </patternFill>
    </fill>
    <fill>
      <patternFill patternType="solid">
        <fgColor rgb="00F4F6FA"/>
        <bgColor rgb="00F4F6FA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  <border>
      <top style="thin">
        <color rgb="000B0B0B"/>
      </top>
    </border>
    <border>
      <top style="medium">
        <color rgb="002A78D6"/>
      </top>
    </border>
    <border>
      <top style="medium">
        <color rgb="001F3864"/>
      </top>
    </border>
    <border>
      <top style="medium">
        <color rgb="001E7B4F"/>
      </top>
    </border>
    <border>
      <top style="medium">
        <color rgb="00C0392B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4" applyAlignment="1" pivotButton="0" quotePrefix="0" xfId="0">
      <alignment horizontal="left" vertical="bottom" indent="1"/>
    </xf>
    <xf numFmtId="0" fontId="0" fillId="4" borderId="4" pivotButton="0" quotePrefix="0" xfId="0"/>
    <xf numFmtId="0" fontId="10" fillId="4" borderId="5" applyAlignment="1" pivotButton="0" quotePrefix="0" xfId="0">
      <alignment horizontal="left" vertical="bottom" indent="1"/>
    </xf>
    <xf numFmtId="0" fontId="0" fillId="4" borderId="5" pivotButton="0" quotePrefix="0" xfId="0"/>
    <xf numFmtId="164" fontId="11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164" fontId="13" fillId="4" borderId="0" applyAlignment="1" pivotButton="0" quotePrefix="0" xfId="0">
      <alignment horizontal="left" vertical="center" indent="1"/>
    </xf>
    <xf numFmtId="169" fontId="11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top" indent="1"/>
    </xf>
    <xf numFmtId="0" fontId="10" fillId="4" borderId="6" applyAlignment="1" pivotButton="0" quotePrefix="0" xfId="0">
      <alignment horizontal="left" vertical="bottom" indent="1"/>
    </xf>
    <xf numFmtId="0" fontId="0" fillId="4" borderId="6" pivotButton="0" quotePrefix="0" xfId="0"/>
    <xf numFmtId="0" fontId="10" fillId="4" borderId="7" applyAlignment="1" pivotButton="0" quotePrefix="0" xfId="0">
      <alignment horizontal="left" vertical="bottom" indent="1"/>
    </xf>
    <xf numFmtId="0" fontId="0" fillId="4" borderId="7" pivotButton="0" quotePrefix="0" xfId="0"/>
    <xf numFmtId="164" fontId="14" fillId="4" borderId="0" applyAlignment="1" pivotButton="0" quotePrefix="0" xfId="0">
      <alignment horizontal="left" vertical="center" indent="1"/>
    </xf>
    <xf numFmtId="164" fontId="15" fillId="4" borderId="0" applyAlignment="1" pivotButton="0" quotePrefix="0" xfId="0">
      <alignment horizontal="left" vertical="center" indent="1"/>
    </xf>
    <xf numFmtId="49" fontId="11" fillId="4" borderId="0" applyAlignment="1" pivotButton="0" quotePrefix="0" xfId="0">
      <alignment horizontal="left" vertical="center" indent="1"/>
    </xf>
    <xf numFmtId="49" fontId="13" fillId="4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166" fontId="4" fillId="2" borderId="2" pivotButton="0" quotePrefix="0" xfId="0"/>
    <xf numFmtId="0" fontId="4" fillId="2" borderId="2" pivotButton="0" quotePrefix="0" xfId="0"/>
    <xf numFmtId="0" fontId="7" fillId="0" borderId="2" applyAlignment="1" pivotButton="0" quotePrefix="0" xfId="0">
      <alignment horizontal="center"/>
    </xf>
    <xf numFmtId="164" fontId="4" fillId="2" borderId="2" pivotButton="0" quotePrefix="0" xfId="0"/>
    <xf numFmtId="167" fontId="7" fillId="0" borderId="2" pivotButton="0" quotePrefix="0" xfId="0"/>
    <xf numFmtId="164" fontId="7" fillId="0" borderId="2" pivotButton="0" quotePrefix="0" xfId="0"/>
    <xf numFmtId="9" fontId="7" fillId="0" borderId="2" pivotButton="0" quotePrefix="0" xfId="0"/>
    <xf numFmtId="0" fontId="3" fillId="0" borderId="0" pivotButton="0" quotePrefix="0" xfId="0"/>
    <xf numFmtId="164" fontId="3" fillId="0" borderId="3" pivotButton="0" quotePrefix="0" xfId="0"/>
    <xf numFmtId="0" fontId="20" fillId="2" borderId="1" pivotButton="0" quotePrefix="0" xfId="0"/>
    <xf numFmtId="0" fontId="7" fillId="0" borderId="2" pivotButton="0" quotePrefix="0" xfId="0"/>
    <xf numFmtId="9" fontId="3" fillId="0" borderId="0" pivotButton="0" quotePrefix="0" xfId="0"/>
    <xf numFmtId="0" fontId="4" fillId="2" borderId="1" pivotButton="0" quotePrefix="0" xfId="0"/>
    <xf numFmtId="164" fontId="4" fillId="2" borderId="1" pivotButton="0" quotePrefix="0" xfId="0"/>
    <xf numFmtId="166" fontId="4" fillId="2" borderId="1" pivotButton="0" quotePrefix="0" xfId="0"/>
    <xf numFmtId="9" fontId="4" fillId="2" borderId="1" pivotButton="0" quotePrefix="0" xfId="0"/>
    <xf numFmtId="168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C0392B"/>
        <sz val="20"/>
      </font>
    </dxf>
    <dxf>
      <font>
        <name val="Arial"/>
        <b val="1"/>
        <color rgb="001E7B4F"/>
        <sz val="20"/>
      </font>
    </dxf>
    <dxf>
      <font>
        <name val="Arial"/>
        <b val="1"/>
        <color rgb="00C0392B"/>
      </font>
    </dxf>
    <dxf>
      <font>
        <name val="Arial"/>
        <b val="1"/>
        <color rgb="001E7B4F"/>
      </font>
    </dxf>
    <dxf>
      <font>
        <name val="Arial"/>
        <b val="1"/>
        <color rgb="001E7B4F"/>
      </font>
      <fill>
        <patternFill patternType="solid">
          <fgColor rgb="00E3F1E8"/>
          <bgColor rgb="00E3F1E8"/>
        </patternFill>
      </fill>
    </dxf>
    <dxf>
      <font>
        <name val="Arial"/>
        <b val="1"/>
        <color rgb="00B7791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'Calc'!E5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'Calc'!$B$6:$B$17</f>
            </numRef>
          </cat>
          <val>
            <numRef>
              <f>'Calc'!$E$6:$E$17</f>
            </numRef>
          </val>
          <smooth val="0"/>
        </ser>
        <ser>
          <idx val="1"/>
          <order val="1"/>
          <tx>
            <strRef>
              <f>'Calc'!F5</f>
            </strRef>
          </tx>
          <spPr>
            <a:ln xmlns:a="http://schemas.openxmlformats.org/drawingml/2006/main" w="1905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'Calc'!$B$6:$B$17</f>
            </numRef>
          </cat>
          <val>
            <numRef>
              <f>'Calc'!$F$6:$F$17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$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'Calc'!C5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'Calc'!$B$6:$B$17</f>
            </numRef>
          </cat>
          <val>
            <numRef>
              <f>'Calc'!$C$6:$C$17</f>
            </numRef>
          </val>
        </ser>
        <ser>
          <idx val="1"/>
          <order val="1"/>
          <tx>
            <strRef>
              <f>'Calc'!D5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'Calc'!$B$6:$B$17</f>
            </numRef>
          </cat>
          <val>
            <numRef>
              <f>'Calc'!$D$6:$D$17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$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'Calc'!$A$21:$A$28</f>
            </numRef>
          </cat>
          <val>
            <numRef>
              <f>'Calc'!$B$21:$B$28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'Calc'!$A$33:$A$38</f>
            </numRef>
          </cat>
          <val>
            <numRef>
              <f>'Calc'!$B$33:$B$38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5256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5256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37</row>
      <rowOff>0</rowOff>
    </from>
    <ext cx="5256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37</row>
      <rowOff>0</rowOff>
    </from>
    <ext cx="5256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</cols>
  <sheetData>
    <row r="2" ht="34" customHeight="1">
      <c r="B2" s="1">
        <f>Settings!$C$4&amp;"  ·  Class Treasury"</f>
        <v/>
      </c>
    </row>
    <row r="3">
      <c r="B3" s="2">
        <f>"As of "&amp;TEXT(TODAY(),"mmmm d, yyyy")&amp;"   ·   Goal: "&amp;TEXT(Settings!$C$6,"$#,##0")&amp;" by "&amp;TEXT(Settings!$C$7,"mmmm yyyy")&amp;"   ·   Currently in "&amp;IFERROR(LOOKUP(TODAY(),Settings!$C$14:$C$17,Settings!$B$14:$B$17),"Pre-MS1")</f>
        <v/>
      </c>
    </row>
    <row r="5" ht="20" customHeight="1">
      <c r="B5" s="3" t="inlineStr">
        <is>
          <t>CURRENT FUND</t>
        </is>
      </c>
      <c r="C5" s="4" t="n"/>
      <c r="D5" s="4" t="n"/>
      <c r="E5" s="5" t="inlineStr">
        <is>
          <t>GOAL BY MS4</t>
        </is>
      </c>
      <c r="F5" s="6" t="n"/>
      <c r="G5" s="6" t="n"/>
      <c r="H5" s="3" t="inlineStr">
        <is>
          <t>PROGRESS TO GOAL</t>
        </is>
      </c>
      <c r="I5" s="4" t="n"/>
      <c r="J5" s="4" t="n"/>
      <c r="K5" s="5" t="inlineStr">
        <is>
          <t>NEEDED PER MONTH</t>
        </is>
      </c>
      <c r="L5" s="6" t="n"/>
      <c r="M5" s="6" t="n"/>
    </row>
    <row r="6" ht="32" customHeight="1">
      <c r="B6" s="7">
        <f>(Settings!$C$5+SUM(Transactions!$I$5:$I$504))</f>
        <v/>
      </c>
      <c r="C6" s="8" t="n"/>
      <c r="D6" s="8" t="n"/>
      <c r="E6" s="9">
        <f>Settings!$C$6</f>
        <v/>
      </c>
      <c r="F6" s="8" t="n"/>
      <c r="G6" s="8" t="n"/>
      <c r="H6" s="10">
        <f>IF(Settings!$C$6=0,0,(Settings!$C$5+SUM(Transactions!$I$5:$I$504))/Settings!$C$6)</f>
        <v/>
      </c>
      <c r="I6" s="8" t="n"/>
      <c r="J6" s="8" t="n"/>
      <c r="K6" s="9">
        <f>MAX(0,Settings!$C$6-(Settings!$C$5+SUM(Transactions!$I$5:$I$504)))/MAX(1,DATEDIF(TODAY(),MAX(TODAY(),Settings!$C$7),"m"))</f>
        <v/>
      </c>
      <c r="L6" s="8" t="n"/>
      <c r="M6" s="8" t="n"/>
    </row>
    <row r="7" ht="18" customHeight="1">
      <c r="B7" s="11">
        <f>"This month: "&amp;TEXT((Calc!$C$17-Calc!$D$17),"+$#,##0;-$#,##0;$0")</f>
        <v/>
      </c>
      <c r="C7" s="8" t="n"/>
      <c r="D7" s="8" t="n"/>
      <c r="E7" s="11">
        <f>"Deadline "&amp;TEXT(Settings!$C$7,"mmm d, yyyy")</f>
        <v/>
      </c>
      <c r="F7" s="8" t="n"/>
      <c r="G7" s="8" t="n"/>
      <c r="H7" s="11">
        <f>TEXT(MAX(0,Settings!$C$6-(Settings!$C$5+SUM(Transactions!$I$5:$I$504))),"$#,##0")&amp;" still to go"</f>
        <v/>
      </c>
      <c r="I7" s="8" t="n"/>
      <c r="J7" s="8" t="n"/>
      <c r="K7" s="11">
        <f>MAX(1,DATEDIF(TODAY(),MAX(TODAY(),Settings!$C$7),"m"))&amp;" months left to hit the goal"</f>
        <v/>
      </c>
      <c r="L7" s="8" t="n"/>
      <c r="M7" s="8" t="n"/>
    </row>
    <row r="9" ht="20" customHeight="1">
      <c r="B9" s="12" t="inlineStr">
        <is>
          <t>TOTAL RAISED</t>
        </is>
      </c>
      <c r="C9" s="13" t="n"/>
      <c r="D9" s="13" t="n"/>
      <c r="E9" s="14" t="inlineStr">
        <is>
          <t>TOTAL SPENT</t>
        </is>
      </c>
      <c r="F9" s="15" t="n"/>
      <c r="G9" s="15" t="n"/>
      <c r="H9" s="3" t="inlineStr">
        <is>
          <t>PACE CHECK</t>
        </is>
      </c>
      <c r="I9" s="4" t="n"/>
      <c r="J9" s="4" t="n"/>
      <c r="K9" s="5" t="inlineStr">
        <is>
          <t>BEST FUNDRAISER</t>
        </is>
      </c>
      <c r="L9" s="6" t="n"/>
      <c r="M9" s="6" t="n"/>
    </row>
    <row r="10" ht="32" customHeight="1">
      <c r="B10" s="16">
        <f>SUMIFS(Transactions!$E$5:$E$504,Transactions!$D$5:$D$504,"Income")</f>
        <v/>
      </c>
      <c r="C10" s="8" t="n"/>
      <c r="D10" s="8" t="n"/>
      <c r="E10" s="17">
        <f>SUMIFS(Transactions!$E$5:$E$504,Transactions!$D$5:$D$504,"Expense")</f>
        <v/>
      </c>
      <c r="F10" s="8" t="n"/>
      <c r="G10" s="8" t="n"/>
      <c r="H10" s="18">
        <f>IF((Settings!$C$5+SUM(Transactions!$I$5:$I$504))&gt;=Calc!$F$17,"On Track","Behind Pace")</f>
        <v/>
      </c>
      <c r="I10" s="8" t="n"/>
      <c r="J10" s="8" t="n"/>
      <c r="K10" s="19">
        <f>IFERROR(INDEX(Fundraisers!$B$6:$B$25,MATCH(1,Fundraisers!$G$6:$G$25,0)),"—")</f>
        <v/>
      </c>
      <c r="L10" s="8" t="n"/>
      <c r="M10" s="8" t="n"/>
    </row>
    <row r="11" ht="18" customHeight="1">
      <c r="B11" s="11">
        <f>"All-time, since "&amp;TEXT(Settings!$C$14,"mmm yyyy")</f>
        <v/>
      </c>
      <c r="C11" s="8" t="n"/>
      <c r="D11" s="8" t="n"/>
      <c r="E11" s="11">
        <f>IF(SUMIFS(Transactions!$E$5:$E$504,Transactions!$D$5:$D$504,"Income")=0,"",TEXT(SUMIFS(Transactions!$E$5:$E$504,Transactions!$D$5:$D$504,"Expense")/SUMIFS(Transactions!$E$5:$E$504,Transactions!$D$5:$D$504,"Income"),"0%")&amp;" of everything raised")</f>
        <v/>
      </c>
      <c r="F11" s="8" t="n"/>
      <c r="G11" s="8" t="n"/>
      <c r="H11" s="11">
        <f>"Target for today: "&amp;TEXT(Calc!$F$17,"$#,##0")</f>
        <v/>
      </c>
      <c r="I11" s="8" t="n"/>
      <c r="J11" s="8" t="n"/>
      <c r="K11" s="11">
        <f>IFERROR(TEXT(MAX(Fundraisers!$E$6:$E$25),"$#,##0")&amp;" net profit","")</f>
        <v/>
      </c>
      <c r="L11" s="8" t="n"/>
      <c r="M11" s="8" t="n"/>
    </row>
    <row r="13" ht="24" customHeight="1">
      <c r="B13" s="20" t="inlineStr">
        <is>
          <t>Goal progress</t>
        </is>
      </c>
      <c r="C13" s="21">
        <f>REPT("█",ROUND(MAX(0,MIN(1,IF(Settings!$C$6=0,0,(Settings!$C$5+SUM(Transactions!$I$5:$I$504))/Settings!$C$6)))*60,0))&amp;REPT("░",60-ROUND(MAX(0,MIN(1,IF(Settings!$C$6=0,0,(Settings!$C$5+SUM(Transactions!$I$5:$I$504))/Settings!$C$6)))*60,0))</f>
        <v/>
      </c>
      <c r="L13" s="22">
        <f>TEXT((Settings!$C$5+SUM(Transactions!$I$5:$I$504)),"$#,##0")&amp;" / "&amp;TEXT(Settings!$C$6,"$#,##0")</f>
        <v/>
      </c>
    </row>
    <row r="15">
      <c r="B15" s="23" t="inlineStr">
        <is>
          <t>Fund Balance vs. Goal Pace (last 12 months)</t>
        </is>
      </c>
      <c r="H15" s="23" t="inlineStr">
        <is>
          <t>Money In vs. Money Out (last 12 months)</t>
        </is>
      </c>
    </row>
    <row r="35">
      <c r="B35" s="23" t="inlineStr">
        <is>
          <t>Where the Money Goes (all-time)</t>
        </is>
      </c>
      <c r="H35" s="23" t="inlineStr">
        <is>
          <t>Where the Money Comes From (all-time)</t>
        </is>
      </c>
    </row>
    <row r="54">
      <c r="B54" s="24" t="inlineStr">
        <is>
          <t>Read-only view. The treasurer updates this file; figures recalculate automatically.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7B"/>
  <mergeCells count="28">
    <mergeCell ref="B11:D11"/>
    <mergeCell ref="B2:M2"/>
    <mergeCell ref="E10:G10"/>
    <mergeCell ref="E9:G9"/>
    <mergeCell ref="H11:J11"/>
    <mergeCell ref="L13:M13"/>
    <mergeCell ref="H7:J7"/>
    <mergeCell ref="E6:G6"/>
    <mergeCell ref="B10:D10"/>
    <mergeCell ref="E11:G11"/>
    <mergeCell ref="B9:D9"/>
    <mergeCell ref="E7:G7"/>
    <mergeCell ref="B6:D6"/>
    <mergeCell ref="K7:M7"/>
    <mergeCell ref="B5:D5"/>
    <mergeCell ref="K10:M10"/>
    <mergeCell ref="K6:M6"/>
    <mergeCell ref="H5:J5"/>
    <mergeCell ref="C13:K13"/>
    <mergeCell ref="B7:D7"/>
    <mergeCell ref="H10:J10"/>
    <mergeCell ref="B3:M3"/>
    <mergeCell ref="K9:M9"/>
    <mergeCell ref="E5:G5"/>
    <mergeCell ref="K5:M5"/>
    <mergeCell ref="H9:J9"/>
    <mergeCell ref="K11:M11"/>
    <mergeCell ref="H6:J6"/>
  </mergeCells>
  <conditionalFormatting sqref="H10">
    <cfRule type="expression" priority="1" dxfId="0">
      <formula>H10="Behind Pace"</formula>
    </cfRule>
    <cfRule type="expression" priority="2" dxfId="1">
      <formula>H10="On Track"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11" customWidth="1" min="4" max="4"/>
    <col width="13" customWidth="1" min="5" max="5"/>
    <col width="20" customWidth="1" min="6" max="6"/>
    <col width="22" customWidth="1" min="7" max="7"/>
    <col width="11" customWidth="1" min="8" max="8"/>
    <col width="13" customWidth="1" min="9" max="9"/>
    <col width="15" customWidth="1" min="10" max="10"/>
  </cols>
  <sheetData>
    <row r="1">
      <c r="A1" s="25" t="inlineStr">
        <is>
          <t>Transactions Log</t>
        </is>
      </c>
    </row>
    <row r="2">
      <c r="A2" s="26" t="inlineStr">
        <is>
          <t>Add one row per deposit or payment, newest at the bottom. Fill the yellow columns; Type, Class Year, and Balance fill in automatically. Amounts are always positive.</t>
        </is>
      </c>
    </row>
    <row r="4" ht="30" customHeight="1">
      <c r="A4" s="27" t="inlineStr">
        <is>
          <t>Date</t>
        </is>
      </c>
      <c r="B4" s="27" t="inlineStr">
        <is>
          <t>Description</t>
        </is>
      </c>
      <c r="C4" s="27" t="inlineStr">
        <is>
          <t>Category</t>
        </is>
      </c>
      <c r="D4" s="27" t="inlineStr">
        <is>
          <t>Type</t>
        </is>
      </c>
      <c r="E4" s="27" t="inlineStr">
        <is>
          <t>Amount</t>
        </is>
      </c>
      <c r="F4" s="27" t="inlineStr">
        <is>
          <t>Fundraiser / Event tag</t>
        </is>
      </c>
      <c r="G4" s="27" t="inlineStr">
        <is>
          <t>Notes / Receipt #</t>
        </is>
      </c>
      <c r="H4" s="27" t="inlineStr">
        <is>
          <t>Class Year</t>
        </is>
      </c>
      <c r="I4" s="27" t="inlineStr">
        <is>
          <t>+/- Amount</t>
        </is>
      </c>
      <c r="J4" s="27" t="inlineStr">
        <is>
          <t>Running Balance</t>
        </is>
      </c>
    </row>
    <row r="5">
      <c r="A5" s="28" t="n">
        <v>45884</v>
      </c>
      <c r="B5" s="29" t="inlineStr">
        <is>
          <t>Dean's office class allocation</t>
        </is>
      </c>
      <c r="C5" s="29" t="inlineStr">
        <is>
          <t>School Allocation</t>
        </is>
      </c>
      <c r="D5" s="30">
        <f>IF(C5="","",IFERROR(INDEX(Settings!$C$21:$C$34,MATCH(C5,Settings!$B$21:$B$34,0)),"Check category"))</f>
        <v/>
      </c>
      <c r="E5" s="31" t="n">
        <v>2000</v>
      </c>
      <c r="F5" s="29" t="n"/>
      <c r="G5" s="29" t="inlineStr">
        <is>
          <t>Example row</t>
        </is>
      </c>
      <c r="H5" s="30">
        <f>IF(A5="","",IFERROR(LOOKUP(A5,Settings!$C$14:$C$17,Settings!$B$14:$B$17),"Pre-MS1"))</f>
        <v/>
      </c>
      <c r="I5" s="32">
        <f>IF(OR(A5="",E5=""),0,IF(D5="Expense",-E5,E5))</f>
        <v/>
      </c>
      <c r="J5" s="33">
        <f>IF(A5="","",Settings!$C$5+SUM($I$5:I5))</f>
        <v/>
      </c>
    </row>
    <row r="6">
      <c r="A6" s="28" t="n">
        <v>45897</v>
      </c>
      <c r="B6" s="29" t="inlineStr">
        <is>
          <t>MS1 class dues</t>
        </is>
      </c>
      <c r="C6" s="29" t="inlineStr">
        <is>
          <t>Class Dues</t>
        </is>
      </c>
      <c r="D6" s="30">
        <f>IF(C6="","",IFERROR(INDEX(Settings!$C$21:$C$34,MATCH(C6,Settings!$B$21:$B$34,0)),"Check category"))</f>
        <v/>
      </c>
      <c r="E6" s="31" t="n">
        <v>2400</v>
      </c>
      <c r="F6" s="29" t="n"/>
      <c r="G6" s="29" t="n"/>
      <c r="H6" s="30">
        <f>IF(A6="","",IFERROR(LOOKUP(A6,Settings!$C$14:$C$17,Settings!$B$14:$B$17),"Pre-MS1"))</f>
        <v/>
      </c>
      <c r="I6" s="32">
        <f>IF(OR(A6="",E6=""),0,IF(D6="Expense",-E6,E6))</f>
        <v/>
      </c>
      <c r="J6" s="33">
        <f>IF(A6="","",Settings!$C$5+SUM($I$5:I6))</f>
        <v/>
      </c>
    </row>
    <row r="7">
      <c r="A7" s="28" t="n">
        <v>45912</v>
      </c>
      <c r="B7" s="29" t="inlineStr">
        <is>
          <t>Welcome mixer</t>
        </is>
      </c>
      <c r="C7" s="29" t="inlineStr">
        <is>
          <t>Social Events</t>
        </is>
      </c>
      <c r="D7" s="30">
        <f>IF(C7="","",IFERROR(INDEX(Settings!$C$21:$C$34,MATCH(C7,Settings!$B$21:$B$34,0)),"Check category"))</f>
        <v/>
      </c>
      <c r="E7" s="31" t="n">
        <v>650</v>
      </c>
      <c r="F7" s="29" t="n"/>
      <c r="G7" s="29" t="n"/>
      <c r="H7" s="30">
        <f>IF(A7="","",IFERROR(LOOKUP(A7,Settings!$C$14:$C$17,Settings!$B$14:$B$17),"Pre-MS1"))</f>
        <v/>
      </c>
      <c r="I7" s="32">
        <f>IF(OR(A7="",E7=""),0,IF(D7="Expense",-E7,E7))</f>
        <v/>
      </c>
      <c r="J7" s="33">
        <f>IF(A7="","",Settings!$C$5+SUM($I$5:I7))</f>
        <v/>
      </c>
    </row>
    <row r="8">
      <c r="A8" s="28" t="n">
        <v>45930</v>
      </c>
      <c r="B8" s="29" t="inlineStr">
        <is>
          <t>Class hoodie sales</t>
        </is>
      </c>
      <c r="C8" s="29" t="inlineStr">
        <is>
          <t>Fundraiser</t>
        </is>
      </c>
      <c r="D8" s="30">
        <f>IF(C8="","",IFERROR(INDEX(Settings!$C$21:$C$34,MATCH(C8,Settings!$B$21:$B$34,0)),"Check category"))</f>
        <v/>
      </c>
      <c r="E8" s="31" t="n">
        <v>3100</v>
      </c>
      <c r="F8" s="29" t="inlineStr">
        <is>
          <t>Hoodie Sale</t>
        </is>
      </c>
      <c r="G8" s="29" t="n"/>
      <c r="H8" s="30">
        <f>IF(A8="","",IFERROR(LOOKUP(A8,Settings!$C$14:$C$17,Settings!$B$14:$B$17),"Pre-MS1"))</f>
        <v/>
      </c>
      <c r="I8" s="32">
        <f>IF(OR(A8="",E8=""),0,IF(D8="Expense",-E8,E8))</f>
        <v/>
      </c>
      <c r="J8" s="33">
        <f>IF(A8="","",Settings!$C$5+SUM($I$5:I8))</f>
        <v/>
      </c>
    </row>
    <row r="9">
      <c r="A9" s="28" t="n">
        <v>45930</v>
      </c>
      <c r="B9" s="29" t="inlineStr">
        <is>
          <t>Hoodie order</t>
        </is>
      </c>
      <c r="C9" s="29" t="inlineStr">
        <is>
          <t>Fundraiser Costs</t>
        </is>
      </c>
      <c r="D9" s="30">
        <f>IF(C9="","",IFERROR(INDEX(Settings!$C$21:$C$34,MATCH(C9,Settings!$B$21:$B$34,0)),"Check category"))</f>
        <v/>
      </c>
      <c r="E9" s="31" t="n">
        <v>1850</v>
      </c>
      <c r="F9" s="29" t="inlineStr">
        <is>
          <t>Hoodie Sale</t>
        </is>
      </c>
      <c r="G9" s="29" t="n"/>
      <c r="H9" s="30">
        <f>IF(A9="","",IFERROR(LOOKUP(A9,Settings!$C$14:$C$17,Settings!$B$14:$B$17),"Pre-MS1"))</f>
        <v/>
      </c>
      <c r="I9" s="32">
        <f>IF(OR(A9="",E9=""),0,IF(D9="Expense",-E9,E9))</f>
        <v/>
      </c>
      <c r="J9" s="33">
        <f>IF(A9="","",Settings!$C$5+SUM($I$5:I9))</f>
        <v/>
      </c>
    </row>
    <row r="10">
      <c r="A10" s="28" t="n">
        <v>45955</v>
      </c>
      <c r="B10" s="29" t="inlineStr">
        <is>
          <t>Halloween party</t>
        </is>
      </c>
      <c r="C10" s="29" t="inlineStr">
        <is>
          <t>Social Events</t>
        </is>
      </c>
      <c r="D10" s="30">
        <f>IF(C10="","",IFERROR(INDEX(Settings!$C$21:$C$34,MATCH(C10,Settings!$B$21:$B$34,0)),"Check category"))</f>
        <v/>
      </c>
      <c r="E10" s="31" t="n">
        <v>480</v>
      </c>
      <c r="F10" s="29" t="n"/>
      <c r="G10" s="29" t="n"/>
      <c r="H10" s="30">
        <f>IF(A10="","",IFERROR(LOOKUP(A10,Settings!$C$14:$C$17,Settings!$B$14:$B$17),"Pre-MS1"))</f>
        <v/>
      </c>
      <c r="I10" s="32">
        <f>IF(OR(A10="",E10=""),0,IF(D10="Expense",-E10,E10))</f>
        <v/>
      </c>
      <c r="J10" s="33">
        <f>IF(A10="","",Settings!$C$5+SUM($I$5:I10))</f>
        <v/>
      </c>
    </row>
    <row r="11">
      <c r="A11" s="28" t="n">
        <v>45975</v>
      </c>
      <c r="B11" s="29" t="inlineStr">
        <is>
          <t>Bake sale</t>
        </is>
      </c>
      <c r="C11" s="29" t="inlineStr">
        <is>
          <t>Fundraiser</t>
        </is>
      </c>
      <c r="D11" s="30">
        <f>IF(C11="","",IFERROR(INDEX(Settings!$C$21:$C$34,MATCH(C11,Settings!$B$21:$B$34,0)),"Check category"))</f>
        <v/>
      </c>
      <c r="E11" s="31" t="n">
        <v>420</v>
      </c>
      <c r="F11" s="29" t="inlineStr">
        <is>
          <t>Bake Sale</t>
        </is>
      </c>
      <c r="G11" s="29" t="n"/>
      <c r="H11" s="30">
        <f>IF(A11="","",IFERROR(LOOKUP(A11,Settings!$C$14:$C$17,Settings!$B$14:$B$17),"Pre-MS1"))</f>
        <v/>
      </c>
      <c r="I11" s="32">
        <f>IF(OR(A11="",E11=""),0,IF(D11="Expense",-E11,E11))</f>
        <v/>
      </c>
      <c r="J11" s="33">
        <f>IF(A11="","",Settings!$C$5+SUM($I$5:I11))</f>
        <v/>
      </c>
    </row>
    <row r="12">
      <c r="A12" s="28" t="n">
        <v>45975</v>
      </c>
      <c r="B12" s="29" t="inlineStr">
        <is>
          <t>Bake sale supplies</t>
        </is>
      </c>
      <c r="C12" s="29" t="inlineStr">
        <is>
          <t>Fundraiser Costs</t>
        </is>
      </c>
      <c r="D12" s="30">
        <f>IF(C12="","",IFERROR(INDEX(Settings!$C$21:$C$34,MATCH(C12,Settings!$B$21:$B$34,0)),"Check category"))</f>
        <v/>
      </c>
      <c r="E12" s="31" t="n">
        <v>90</v>
      </c>
      <c r="F12" s="29" t="inlineStr">
        <is>
          <t>Bake Sale</t>
        </is>
      </c>
      <c r="G12" s="29" t="n"/>
      <c r="H12" s="30">
        <f>IF(A12="","",IFERROR(LOOKUP(A12,Settings!$C$14:$C$17,Settings!$B$14:$B$17),"Pre-MS1"))</f>
        <v/>
      </c>
      <c r="I12" s="32">
        <f>IF(OR(A12="",E12=""),0,IF(D12="Expense",-E12,E12))</f>
        <v/>
      </c>
      <c r="J12" s="33">
        <f>IF(A12="","",Settings!$C$5+SUM($I$5:I12))</f>
        <v/>
      </c>
    </row>
    <row r="13">
      <c r="A13" s="28" t="n">
        <v>46003</v>
      </c>
      <c r="B13" s="29" t="inlineStr">
        <is>
          <t>End-of-block celebration</t>
        </is>
      </c>
      <c r="C13" s="29" t="inlineStr">
        <is>
          <t>Food &amp; Drinks</t>
        </is>
      </c>
      <c r="D13" s="30">
        <f>IF(C13="","",IFERROR(INDEX(Settings!$C$21:$C$34,MATCH(C13,Settings!$B$21:$B$34,0)),"Check category"))</f>
        <v/>
      </c>
      <c r="E13" s="31" t="n">
        <v>380</v>
      </c>
      <c r="F13" s="29" t="n"/>
      <c r="G13" s="29" t="n"/>
      <c r="H13" s="30">
        <f>IF(A13="","",IFERROR(LOOKUP(A13,Settings!$C$14:$C$17,Settings!$B$14:$B$17),"Pre-MS1"))</f>
        <v/>
      </c>
      <c r="I13" s="32">
        <f>IF(OR(A13="",E13=""),0,IF(D13="Expense",-E13,E13))</f>
        <v/>
      </c>
      <c r="J13" s="33">
        <f>IF(A13="","",Settings!$C$5+SUM($I$5:I13))</f>
        <v/>
      </c>
    </row>
    <row r="14">
      <c r="A14" s="28" t="n">
        <v>46042</v>
      </c>
      <c r="B14" s="29" t="inlineStr">
        <is>
          <t>Local clinic sponsorship</t>
        </is>
      </c>
      <c r="C14" s="29" t="inlineStr">
        <is>
          <t>Sponsorship</t>
        </is>
      </c>
      <c r="D14" s="30">
        <f>IF(C14="","",IFERROR(INDEX(Settings!$C$21:$C$34,MATCH(C14,Settings!$B$21:$B$34,0)),"Check category"))</f>
        <v/>
      </c>
      <c r="E14" s="31" t="n">
        <v>1000</v>
      </c>
      <c r="F14" s="29" t="n"/>
      <c r="G14" s="29" t="n"/>
      <c r="H14" s="30">
        <f>IF(A14="","",IFERROR(LOOKUP(A14,Settings!$C$14:$C$17,Settings!$B$14:$B$17),"Pre-MS1"))</f>
        <v/>
      </c>
      <c r="I14" s="32">
        <f>IF(OR(A14="",E14=""),0,IF(D14="Expense",-E14,E14))</f>
        <v/>
      </c>
      <c r="J14" s="33">
        <f>IF(A14="","",Settings!$C$5+SUM($I$5:I14))</f>
        <v/>
      </c>
    </row>
    <row r="15">
      <c r="A15" s="28" t="n">
        <v>46066</v>
      </c>
      <c r="B15" s="29" t="inlineStr">
        <is>
          <t>Valentine's grams</t>
        </is>
      </c>
      <c r="C15" s="29" t="inlineStr">
        <is>
          <t>Fundraiser</t>
        </is>
      </c>
      <c r="D15" s="30">
        <f>IF(C15="","",IFERROR(INDEX(Settings!$C$21:$C$34,MATCH(C15,Settings!$B$21:$B$34,0)),"Check category"))</f>
        <v/>
      </c>
      <c r="E15" s="31" t="n">
        <v>310</v>
      </c>
      <c r="F15" s="29" t="inlineStr">
        <is>
          <t>Valentine Grams</t>
        </is>
      </c>
      <c r="G15" s="29" t="n"/>
      <c r="H15" s="30">
        <f>IF(A15="","",IFERROR(LOOKUP(A15,Settings!$C$14:$C$17,Settings!$B$14:$B$17),"Pre-MS1"))</f>
        <v/>
      </c>
      <c r="I15" s="32">
        <f>IF(OR(A15="",E15=""),0,IF(D15="Expense",-E15,E15))</f>
        <v/>
      </c>
      <c r="J15" s="33">
        <f>IF(A15="","",Settings!$C$5+SUM($I$5:I15))</f>
        <v/>
      </c>
    </row>
    <row r="16">
      <c r="A16" s="28" t="n">
        <v>46066</v>
      </c>
      <c r="B16" s="29" t="inlineStr">
        <is>
          <t>Valentine's grams supplies</t>
        </is>
      </c>
      <c r="C16" s="29" t="inlineStr">
        <is>
          <t>Fundraiser Costs</t>
        </is>
      </c>
      <c r="D16" s="30">
        <f>IF(C16="","",IFERROR(INDEX(Settings!$C$21:$C$34,MATCH(C16,Settings!$B$21:$B$34,0)),"Check category"))</f>
        <v/>
      </c>
      <c r="E16" s="31" t="n">
        <v>60</v>
      </c>
      <c r="F16" s="29" t="inlineStr">
        <is>
          <t>Valentine Grams</t>
        </is>
      </c>
      <c r="G16" s="29" t="n"/>
      <c r="H16" s="30">
        <f>IF(A16="","",IFERROR(LOOKUP(A16,Settings!$C$14:$C$17,Settings!$B$14:$B$17),"Pre-MS1"))</f>
        <v/>
      </c>
      <c r="I16" s="32">
        <f>IF(OR(A16="",E16=""),0,IF(D16="Expense",-E16,E16))</f>
        <v/>
      </c>
      <c r="J16" s="33">
        <f>IF(A16="","",Settings!$C$5+SUM($I$5:I16))</f>
        <v/>
      </c>
    </row>
    <row r="17">
      <c r="A17" s="28" t="n">
        <v>46101</v>
      </c>
      <c r="B17" s="29" t="inlineStr">
        <is>
          <t>Post-exam social</t>
        </is>
      </c>
      <c r="C17" s="29" t="inlineStr">
        <is>
          <t>Social Events</t>
        </is>
      </c>
      <c r="D17" s="30">
        <f>IF(C17="","",IFERROR(INDEX(Settings!$C$21:$C$34,MATCH(C17,Settings!$B$21:$B$34,0)),"Check category"))</f>
        <v/>
      </c>
      <c r="E17" s="31" t="n">
        <v>720</v>
      </c>
      <c r="F17" s="29" t="n"/>
      <c r="G17" s="29" t="n"/>
      <c r="H17" s="30">
        <f>IF(A17="","",IFERROR(LOOKUP(A17,Settings!$C$14:$C$17,Settings!$B$14:$B$17),"Pre-MS1"))</f>
        <v/>
      </c>
      <c r="I17" s="32">
        <f>IF(OR(A17="",E17=""),0,IF(D17="Expense",-E17,E17))</f>
        <v/>
      </c>
      <c r="J17" s="33">
        <f>IF(A17="","",Settings!$C$5+SUM($I$5:I17))</f>
        <v/>
      </c>
    </row>
    <row r="18">
      <c r="A18" s="28" t="n">
        <v>46129</v>
      </c>
      <c r="B18" s="29" t="inlineStr">
        <is>
          <t>Trivia night tickets</t>
        </is>
      </c>
      <c r="C18" s="29" t="inlineStr">
        <is>
          <t>Fundraiser</t>
        </is>
      </c>
      <c r="D18" s="30">
        <f>IF(C18="","",IFERROR(INDEX(Settings!$C$21:$C$34,MATCH(C18,Settings!$B$21:$B$34,0)),"Check category"))</f>
        <v/>
      </c>
      <c r="E18" s="31" t="n">
        <v>950</v>
      </c>
      <c r="F18" s="29" t="inlineStr">
        <is>
          <t>Trivia Night</t>
        </is>
      </c>
      <c r="G18" s="29" t="n"/>
      <c r="H18" s="30">
        <f>IF(A18="","",IFERROR(LOOKUP(A18,Settings!$C$14:$C$17,Settings!$B$14:$B$17),"Pre-MS1"))</f>
        <v/>
      </c>
      <c r="I18" s="32">
        <f>IF(OR(A18="",E18=""),0,IF(D18="Expense",-E18,E18))</f>
        <v/>
      </c>
      <c r="J18" s="33">
        <f>IF(A18="","",Settings!$C$5+SUM($I$5:I18))</f>
        <v/>
      </c>
    </row>
    <row r="19">
      <c r="A19" s="28" t="n">
        <v>46129</v>
      </c>
      <c r="B19" s="29" t="inlineStr">
        <is>
          <t>Trivia night venue &amp; prizes</t>
        </is>
      </c>
      <c r="C19" s="29" t="inlineStr">
        <is>
          <t>Fundraiser Costs</t>
        </is>
      </c>
      <c r="D19" s="30">
        <f>IF(C19="","",IFERROR(INDEX(Settings!$C$21:$C$34,MATCH(C19,Settings!$B$21:$B$34,0)),"Check category"))</f>
        <v/>
      </c>
      <c r="E19" s="31" t="n">
        <v>300</v>
      </c>
      <c r="F19" s="29" t="inlineStr">
        <is>
          <t>Trivia Night</t>
        </is>
      </c>
      <c r="G19" s="29" t="n"/>
      <c r="H19" s="30">
        <f>IF(A19="","",IFERROR(LOOKUP(A19,Settings!$C$14:$C$17,Settings!$B$14:$B$17),"Pre-MS1"))</f>
        <v/>
      </c>
      <c r="I19" s="32">
        <f>IF(OR(A19="",E19=""),0,IF(D19="Expense",-E19,E19))</f>
        <v/>
      </c>
      <c r="J19" s="33">
        <f>IF(A19="","",Settings!$C$5+SUM($I$5:I19))</f>
        <v/>
      </c>
    </row>
    <row r="20">
      <c r="A20" s="28" t="n">
        <v>46150</v>
      </c>
      <c r="B20" s="29" t="inlineStr">
        <is>
          <t>Faculty appreciation gifts</t>
        </is>
      </c>
      <c r="C20" s="29" t="inlineStr">
        <is>
          <t>Gifts &amp; Awards</t>
        </is>
      </c>
      <c r="D20" s="30">
        <f>IF(C20="","",IFERROR(INDEX(Settings!$C$21:$C$34,MATCH(C20,Settings!$B$21:$B$34,0)),"Check category"))</f>
        <v/>
      </c>
      <c r="E20" s="31" t="n">
        <v>250</v>
      </c>
      <c r="F20" s="29" t="n"/>
      <c r="G20" s="29" t="n"/>
      <c r="H20" s="30">
        <f>IF(A20="","",IFERROR(LOOKUP(A20,Settings!$C$14:$C$17,Settings!$B$14:$B$17),"Pre-MS1"))</f>
        <v/>
      </c>
      <c r="I20" s="32">
        <f>IF(OR(A20="",E20=""),0,IF(D20="Expense",-E20,E20))</f>
        <v/>
      </c>
      <c r="J20" s="33">
        <f>IF(A20="","",Settings!$C$5+SUM($I$5:I20))</f>
        <v/>
      </c>
    </row>
    <row r="21">
      <c r="A21" s="28" t="n">
        <v>46178</v>
      </c>
      <c r="B21" s="29" t="inlineStr">
        <is>
          <t>End of MS1 banquet</t>
        </is>
      </c>
      <c r="C21" s="29" t="inlineStr">
        <is>
          <t>Milestone Events</t>
        </is>
      </c>
      <c r="D21" s="30">
        <f>IF(C21="","",IFERROR(INDEX(Settings!$C$21:$C$34,MATCH(C21,Settings!$B$21:$B$34,0)),"Check category"))</f>
        <v/>
      </c>
      <c r="E21" s="31" t="n">
        <v>1400</v>
      </c>
      <c r="F21" s="29" t="n"/>
      <c r="G21" s="29" t="n"/>
      <c r="H21" s="30">
        <f>IF(A21="","",IFERROR(LOOKUP(A21,Settings!$C$14:$C$17,Settings!$B$14:$B$17),"Pre-MS1"))</f>
        <v/>
      </c>
      <c r="I21" s="32">
        <f>IF(OR(A21="",E21=""),0,IF(D21="Expense",-E21,E21))</f>
        <v/>
      </c>
      <c r="J21" s="33">
        <f>IF(A21="","",Settings!$C$5+SUM($I$5:I21))</f>
        <v/>
      </c>
    </row>
    <row r="22">
      <c r="A22" s="28" t="n">
        <v>46255</v>
      </c>
      <c r="B22" s="29" t="inlineStr">
        <is>
          <t>MS2 class dues</t>
        </is>
      </c>
      <c r="C22" s="29" t="inlineStr">
        <is>
          <t>Class Dues</t>
        </is>
      </c>
      <c r="D22" s="30">
        <f>IF(C22="","",IFERROR(INDEX(Settings!$C$21:$C$34,MATCH(C22,Settings!$B$21:$B$34,0)),"Check category"))</f>
        <v/>
      </c>
      <c r="E22" s="31" t="n">
        <v>2200</v>
      </c>
      <c r="F22" s="29" t="n"/>
      <c r="G22" s="29" t="n"/>
      <c r="H22" s="30">
        <f>IF(A22="","",IFERROR(LOOKUP(A22,Settings!$C$14:$C$17,Settings!$B$14:$B$17),"Pre-MS1"))</f>
        <v/>
      </c>
      <c r="I22" s="32">
        <f>IF(OR(A22="",E22=""),0,IF(D22="Expense",-E22,E22))</f>
        <v/>
      </c>
      <c r="J22" s="33">
        <f>IF(A22="","",Settings!$C$5+SUM($I$5:I22))</f>
        <v/>
      </c>
    </row>
    <row r="23">
      <c r="A23" s="28" t="n">
        <v>46275</v>
      </c>
      <c r="B23" s="29" t="inlineStr">
        <is>
          <t>Welcome back BBQ</t>
        </is>
      </c>
      <c r="C23" s="29" t="inlineStr">
        <is>
          <t>Food &amp; Drinks</t>
        </is>
      </c>
      <c r="D23" s="30">
        <f>IF(C23="","",IFERROR(INDEX(Settings!$C$21:$C$34,MATCH(C23,Settings!$B$21:$B$34,0)),"Check category"))</f>
        <v/>
      </c>
      <c r="E23" s="31" t="n">
        <v>540</v>
      </c>
      <c r="F23" s="29" t="n"/>
      <c r="G23" s="29" t="n"/>
      <c r="H23" s="30">
        <f>IF(A23="","",IFERROR(LOOKUP(A23,Settings!$C$14:$C$17,Settings!$B$14:$B$17),"Pre-MS1"))</f>
        <v/>
      </c>
      <c r="I23" s="32">
        <f>IF(OR(A23="",E23=""),0,IF(D23="Expense",-E23,E23))</f>
        <v/>
      </c>
      <c r="J23" s="33">
        <f>IF(A23="","",Settings!$C$5+SUM($I$5:I23))</f>
        <v/>
      </c>
    </row>
    <row r="24">
      <c r="A24" s="28" t="n">
        <v>46290</v>
      </c>
      <c r="B24" s="29" t="inlineStr">
        <is>
          <t>Class t-shirt sales</t>
        </is>
      </c>
      <c r="C24" s="29" t="inlineStr">
        <is>
          <t>Fundraiser</t>
        </is>
      </c>
      <c r="D24" s="30">
        <f>IF(C24="","",IFERROR(INDEX(Settings!$C$21:$C$34,MATCH(C24,Settings!$B$21:$B$34,0)),"Check category"))</f>
        <v/>
      </c>
      <c r="E24" s="31" t="n">
        <v>1500</v>
      </c>
      <c r="F24" s="29" t="inlineStr">
        <is>
          <t>T-Shirt Sale</t>
        </is>
      </c>
      <c r="G24" s="29" t="n"/>
      <c r="H24" s="30">
        <f>IF(A24="","",IFERROR(LOOKUP(A24,Settings!$C$14:$C$17,Settings!$B$14:$B$17),"Pre-MS1"))</f>
        <v/>
      </c>
      <c r="I24" s="32">
        <f>IF(OR(A24="",E24=""),0,IF(D24="Expense",-E24,E24))</f>
        <v/>
      </c>
      <c r="J24" s="33">
        <f>IF(A24="","",Settings!$C$5+SUM($I$5:I24))</f>
        <v/>
      </c>
    </row>
    <row r="25">
      <c r="A25" s="28" t="n">
        <v>46290</v>
      </c>
      <c r="B25" s="29" t="inlineStr">
        <is>
          <t>T-shirt order</t>
        </is>
      </c>
      <c r="C25" s="29" t="inlineStr">
        <is>
          <t>Fundraiser Costs</t>
        </is>
      </c>
      <c r="D25" s="30">
        <f>IF(C25="","",IFERROR(INDEX(Settings!$C$21:$C$34,MATCH(C25,Settings!$B$21:$B$34,0)),"Check category"))</f>
        <v/>
      </c>
      <c r="E25" s="31" t="n">
        <v>800</v>
      </c>
      <c r="F25" s="29" t="inlineStr">
        <is>
          <t>T-Shirt Sale</t>
        </is>
      </c>
      <c r="G25" s="29" t="n"/>
      <c r="H25" s="30">
        <f>IF(A25="","",IFERROR(LOOKUP(A25,Settings!$C$14:$C$17,Settings!$B$14:$B$17),"Pre-MS1"))</f>
        <v/>
      </c>
      <c r="I25" s="32">
        <f>IF(OR(A25="",E25=""),0,IF(D25="Expense",-E25,E25))</f>
        <v/>
      </c>
      <c r="J25" s="33">
        <f>IF(A25="","",Settings!$C$5+SUM($I$5:I25))</f>
        <v/>
      </c>
    </row>
    <row r="26">
      <c r="A26" s="28" t="n">
        <v>46304</v>
      </c>
      <c r="B26" s="29" t="inlineStr">
        <is>
          <t>Study break snacks</t>
        </is>
      </c>
      <c r="C26" s="29" t="inlineStr">
        <is>
          <t>Food &amp; Drinks</t>
        </is>
      </c>
      <c r="D26" s="30">
        <f>IF(C26="","",IFERROR(INDEX(Settings!$C$21:$C$34,MATCH(C26,Settings!$B$21:$B$34,0)),"Check category"))</f>
        <v/>
      </c>
      <c r="E26" s="31" t="n">
        <v>150</v>
      </c>
      <c r="F26" s="29" t="n"/>
      <c r="G26" s="29" t="n"/>
      <c r="H26" s="30">
        <f>IF(A26="","",IFERROR(LOOKUP(A26,Settings!$C$14:$C$17,Settings!$B$14:$B$17),"Pre-MS1"))</f>
        <v/>
      </c>
      <c r="I26" s="32">
        <f>IF(OR(A26="",E26=""),0,IF(D26="Expense",-E26,E26))</f>
        <v/>
      </c>
      <c r="J26" s="33">
        <f>IF(A26="","",Settings!$C$5+SUM($I$5:I26))</f>
        <v/>
      </c>
    </row>
    <row r="27">
      <c r="A27" s="28" t="n">
        <v>46311</v>
      </c>
      <c r="B27" s="29" t="inlineStr">
        <is>
          <t>Alumni donation</t>
        </is>
      </c>
      <c r="C27" s="29" t="inlineStr">
        <is>
          <t>Donation</t>
        </is>
      </c>
      <c r="D27" s="30">
        <f>IF(C27="","",IFERROR(INDEX(Settings!$C$21:$C$34,MATCH(C27,Settings!$B$21:$B$34,0)),"Check category"))</f>
        <v/>
      </c>
      <c r="E27" s="31" t="n">
        <v>500</v>
      </c>
      <c r="F27" s="29" t="n"/>
      <c r="G27" s="29" t="n"/>
      <c r="H27" s="30">
        <f>IF(A27="","",IFERROR(LOOKUP(A27,Settings!$C$14:$C$17,Settings!$B$14:$B$17),"Pre-MS1"))</f>
        <v/>
      </c>
      <c r="I27" s="32">
        <f>IF(OR(A27="",E27=""),0,IF(D27="Expense",-E27,E27))</f>
        <v/>
      </c>
      <c r="J27" s="33">
        <f>IF(A27="","",Settings!$C$5+SUM($I$5:I27))</f>
        <v/>
      </c>
    </row>
    <row r="28">
      <c r="A28" s="28" t="n"/>
      <c r="B28" s="29" t="n"/>
      <c r="C28" s="29" t="n"/>
      <c r="D28" s="30">
        <f>IF(C28="","",IFERROR(INDEX(Settings!$C$21:$C$34,MATCH(C28,Settings!$B$21:$B$34,0)),"Check category"))</f>
        <v/>
      </c>
      <c r="E28" s="31" t="n"/>
      <c r="F28" s="29" t="n"/>
      <c r="G28" s="29" t="n"/>
      <c r="H28" s="30">
        <f>IF(A28="","",IFERROR(LOOKUP(A28,Settings!$C$14:$C$17,Settings!$B$14:$B$17),"Pre-MS1"))</f>
        <v/>
      </c>
      <c r="I28" s="32">
        <f>IF(OR(A28="",E28=""),0,IF(D28="Expense",-E28,E28))</f>
        <v/>
      </c>
      <c r="J28" s="33">
        <f>IF(A28="","",Settings!$C$5+SUM($I$5:I28))</f>
        <v/>
      </c>
    </row>
    <row r="29">
      <c r="A29" s="28" t="n"/>
      <c r="B29" s="29" t="n"/>
      <c r="C29" s="29" t="n"/>
      <c r="D29" s="30">
        <f>IF(C29="","",IFERROR(INDEX(Settings!$C$21:$C$34,MATCH(C29,Settings!$B$21:$B$34,0)),"Check category"))</f>
        <v/>
      </c>
      <c r="E29" s="31" t="n"/>
      <c r="F29" s="29" t="n"/>
      <c r="G29" s="29" t="n"/>
      <c r="H29" s="30">
        <f>IF(A29="","",IFERROR(LOOKUP(A29,Settings!$C$14:$C$17,Settings!$B$14:$B$17),"Pre-MS1"))</f>
        <v/>
      </c>
      <c r="I29" s="32">
        <f>IF(OR(A29="",E29=""),0,IF(D29="Expense",-E29,E29))</f>
        <v/>
      </c>
      <c r="J29" s="33">
        <f>IF(A29="","",Settings!$C$5+SUM($I$5:I29))</f>
        <v/>
      </c>
    </row>
    <row r="30">
      <c r="A30" s="28" t="n"/>
      <c r="B30" s="29" t="n"/>
      <c r="C30" s="29" t="n"/>
      <c r="D30" s="30">
        <f>IF(C30="","",IFERROR(INDEX(Settings!$C$21:$C$34,MATCH(C30,Settings!$B$21:$B$34,0)),"Check category"))</f>
        <v/>
      </c>
      <c r="E30" s="31" t="n"/>
      <c r="F30" s="29" t="n"/>
      <c r="G30" s="29" t="n"/>
      <c r="H30" s="30">
        <f>IF(A30="","",IFERROR(LOOKUP(A30,Settings!$C$14:$C$17,Settings!$B$14:$B$17),"Pre-MS1"))</f>
        <v/>
      </c>
      <c r="I30" s="32">
        <f>IF(OR(A30="",E30=""),0,IF(D30="Expense",-E30,E30))</f>
        <v/>
      </c>
      <c r="J30" s="33">
        <f>IF(A30="","",Settings!$C$5+SUM($I$5:I30))</f>
        <v/>
      </c>
    </row>
    <row r="31">
      <c r="A31" s="28" t="n"/>
      <c r="B31" s="29" t="n"/>
      <c r="C31" s="29" t="n"/>
      <c r="D31" s="30">
        <f>IF(C31="","",IFERROR(INDEX(Settings!$C$21:$C$34,MATCH(C31,Settings!$B$21:$B$34,0)),"Check category"))</f>
        <v/>
      </c>
      <c r="E31" s="31" t="n"/>
      <c r="F31" s="29" t="n"/>
      <c r="G31" s="29" t="n"/>
      <c r="H31" s="30">
        <f>IF(A31="","",IFERROR(LOOKUP(A31,Settings!$C$14:$C$17,Settings!$B$14:$B$17),"Pre-MS1"))</f>
        <v/>
      </c>
      <c r="I31" s="32">
        <f>IF(OR(A31="",E31=""),0,IF(D31="Expense",-E31,E31))</f>
        <v/>
      </c>
      <c r="J31" s="33">
        <f>IF(A31="","",Settings!$C$5+SUM($I$5:I31))</f>
        <v/>
      </c>
    </row>
    <row r="32">
      <c r="A32" s="28" t="n"/>
      <c r="B32" s="29" t="n"/>
      <c r="C32" s="29" t="n"/>
      <c r="D32" s="30">
        <f>IF(C32="","",IFERROR(INDEX(Settings!$C$21:$C$34,MATCH(C32,Settings!$B$21:$B$34,0)),"Check category"))</f>
        <v/>
      </c>
      <c r="E32" s="31" t="n"/>
      <c r="F32" s="29" t="n"/>
      <c r="G32" s="29" t="n"/>
      <c r="H32" s="30">
        <f>IF(A32="","",IFERROR(LOOKUP(A32,Settings!$C$14:$C$17,Settings!$B$14:$B$17),"Pre-MS1"))</f>
        <v/>
      </c>
      <c r="I32" s="32">
        <f>IF(OR(A32="",E32=""),0,IF(D32="Expense",-E32,E32))</f>
        <v/>
      </c>
      <c r="J32" s="33">
        <f>IF(A32="","",Settings!$C$5+SUM($I$5:I32))</f>
        <v/>
      </c>
    </row>
    <row r="33">
      <c r="A33" s="28" t="n"/>
      <c r="B33" s="29" t="n"/>
      <c r="C33" s="29" t="n"/>
      <c r="D33" s="30">
        <f>IF(C33="","",IFERROR(INDEX(Settings!$C$21:$C$34,MATCH(C33,Settings!$B$21:$B$34,0)),"Check category"))</f>
        <v/>
      </c>
      <c r="E33" s="31" t="n"/>
      <c r="F33" s="29" t="n"/>
      <c r="G33" s="29" t="n"/>
      <c r="H33" s="30">
        <f>IF(A33="","",IFERROR(LOOKUP(A33,Settings!$C$14:$C$17,Settings!$B$14:$B$17),"Pre-MS1"))</f>
        <v/>
      </c>
      <c r="I33" s="32">
        <f>IF(OR(A33="",E33=""),0,IF(D33="Expense",-E33,E33))</f>
        <v/>
      </c>
      <c r="J33" s="33">
        <f>IF(A33="","",Settings!$C$5+SUM($I$5:I33))</f>
        <v/>
      </c>
    </row>
    <row r="34">
      <c r="A34" s="28" t="n"/>
      <c r="B34" s="29" t="n"/>
      <c r="C34" s="29" t="n"/>
      <c r="D34" s="30">
        <f>IF(C34="","",IFERROR(INDEX(Settings!$C$21:$C$34,MATCH(C34,Settings!$B$21:$B$34,0)),"Check category"))</f>
        <v/>
      </c>
      <c r="E34" s="31" t="n"/>
      <c r="F34" s="29" t="n"/>
      <c r="G34" s="29" t="n"/>
      <c r="H34" s="30">
        <f>IF(A34="","",IFERROR(LOOKUP(A34,Settings!$C$14:$C$17,Settings!$B$14:$B$17),"Pre-MS1"))</f>
        <v/>
      </c>
      <c r="I34" s="32">
        <f>IF(OR(A34="",E34=""),0,IF(D34="Expense",-E34,E34))</f>
        <v/>
      </c>
      <c r="J34" s="33">
        <f>IF(A34="","",Settings!$C$5+SUM($I$5:I34))</f>
        <v/>
      </c>
    </row>
    <row r="35">
      <c r="A35" s="28" t="n"/>
      <c r="B35" s="29" t="n"/>
      <c r="C35" s="29" t="n"/>
      <c r="D35" s="30">
        <f>IF(C35="","",IFERROR(INDEX(Settings!$C$21:$C$34,MATCH(C35,Settings!$B$21:$B$34,0)),"Check category"))</f>
        <v/>
      </c>
      <c r="E35" s="31" t="n"/>
      <c r="F35" s="29" t="n"/>
      <c r="G35" s="29" t="n"/>
      <c r="H35" s="30">
        <f>IF(A35="","",IFERROR(LOOKUP(A35,Settings!$C$14:$C$17,Settings!$B$14:$B$17),"Pre-MS1"))</f>
        <v/>
      </c>
      <c r="I35" s="32">
        <f>IF(OR(A35="",E35=""),0,IF(D35="Expense",-E35,E35))</f>
        <v/>
      </c>
      <c r="J35" s="33">
        <f>IF(A35="","",Settings!$C$5+SUM($I$5:I35))</f>
        <v/>
      </c>
    </row>
    <row r="36">
      <c r="A36" s="28" t="n"/>
      <c r="B36" s="29" t="n"/>
      <c r="C36" s="29" t="n"/>
      <c r="D36" s="30">
        <f>IF(C36="","",IFERROR(INDEX(Settings!$C$21:$C$34,MATCH(C36,Settings!$B$21:$B$34,0)),"Check category"))</f>
        <v/>
      </c>
      <c r="E36" s="31" t="n"/>
      <c r="F36" s="29" t="n"/>
      <c r="G36" s="29" t="n"/>
      <c r="H36" s="30">
        <f>IF(A36="","",IFERROR(LOOKUP(A36,Settings!$C$14:$C$17,Settings!$B$14:$B$17),"Pre-MS1"))</f>
        <v/>
      </c>
      <c r="I36" s="32">
        <f>IF(OR(A36="",E36=""),0,IF(D36="Expense",-E36,E36))</f>
        <v/>
      </c>
      <c r="J36" s="33">
        <f>IF(A36="","",Settings!$C$5+SUM($I$5:I36))</f>
        <v/>
      </c>
    </row>
    <row r="37">
      <c r="A37" s="28" t="n"/>
      <c r="B37" s="29" t="n"/>
      <c r="C37" s="29" t="n"/>
      <c r="D37" s="30">
        <f>IF(C37="","",IFERROR(INDEX(Settings!$C$21:$C$34,MATCH(C37,Settings!$B$21:$B$34,0)),"Check category"))</f>
        <v/>
      </c>
      <c r="E37" s="31" t="n"/>
      <c r="F37" s="29" t="n"/>
      <c r="G37" s="29" t="n"/>
      <c r="H37" s="30">
        <f>IF(A37="","",IFERROR(LOOKUP(A37,Settings!$C$14:$C$17,Settings!$B$14:$B$17),"Pre-MS1"))</f>
        <v/>
      </c>
      <c r="I37" s="32">
        <f>IF(OR(A37="",E37=""),0,IF(D37="Expense",-E37,E37))</f>
        <v/>
      </c>
      <c r="J37" s="33">
        <f>IF(A37="","",Settings!$C$5+SUM($I$5:I37))</f>
        <v/>
      </c>
    </row>
    <row r="38">
      <c r="A38" s="28" t="n"/>
      <c r="B38" s="29" t="n"/>
      <c r="C38" s="29" t="n"/>
      <c r="D38" s="30">
        <f>IF(C38="","",IFERROR(INDEX(Settings!$C$21:$C$34,MATCH(C38,Settings!$B$21:$B$34,0)),"Check category"))</f>
        <v/>
      </c>
      <c r="E38" s="31" t="n"/>
      <c r="F38" s="29" t="n"/>
      <c r="G38" s="29" t="n"/>
      <c r="H38" s="30">
        <f>IF(A38="","",IFERROR(LOOKUP(A38,Settings!$C$14:$C$17,Settings!$B$14:$B$17),"Pre-MS1"))</f>
        <v/>
      </c>
      <c r="I38" s="32">
        <f>IF(OR(A38="",E38=""),0,IF(D38="Expense",-E38,E38))</f>
        <v/>
      </c>
      <c r="J38" s="33">
        <f>IF(A38="","",Settings!$C$5+SUM($I$5:I38))</f>
        <v/>
      </c>
    </row>
    <row r="39">
      <c r="A39" s="28" t="n"/>
      <c r="B39" s="29" t="n"/>
      <c r="C39" s="29" t="n"/>
      <c r="D39" s="30">
        <f>IF(C39="","",IFERROR(INDEX(Settings!$C$21:$C$34,MATCH(C39,Settings!$B$21:$B$34,0)),"Check category"))</f>
        <v/>
      </c>
      <c r="E39" s="31" t="n"/>
      <c r="F39" s="29" t="n"/>
      <c r="G39" s="29" t="n"/>
      <c r="H39" s="30">
        <f>IF(A39="","",IFERROR(LOOKUP(A39,Settings!$C$14:$C$17,Settings!$B$14:$B$17),"Pre-MS1"))</f>
        <v/>
      </c>
      <c r="I39" s="32">
        <f>IF(OR(A39="",E39=""),0,IF(D39="Expense",-E39,E39))</f>
        <v/>
      </c>
      <c r="J39" s="33">
        <f>IF(A39="","",Settings!$C$5+SUM($I$5:I39))</f>
        <v/>
      </c>
    </row>
    <row r="40">
      <c r="A40" s="28" t="n"/>
      <c r="B40" s="29" t="n"/>
      <c r="C40" s="29" t="n"/>
      <c r="D40" s="30">
        <f>IF(C40="","",IFERROR(INDEX(Settings!$C$21:$C$34,MATCH(C40,Settings!$B$21:$B$34,0)),"Check category"))</f>
        <v/>
      </c>
      <c r="E40" s="31" t="n"/>
      <c r="F40" s="29" t="n"/>
      <c r="G40" s="29" t="n"/>
      <c r="H40" s="30">
        <f>IF(A40="","",IFERROR(LOOKUP(A40,Settings!$C$14:$C$17,Settings!$B$14:$B$17),"Pre-MS1"))</f>
        <v/>
      </c>
      <c r="I40" s="32">
        <f>IF(OR(A40="",E40=""),0,IF(D40="Expense",-E40,E40))</f>
        <v/>
      </c>
      <c r="J40" s="33">
        <f>IF(A40="","",Settings!$C$5+SUM($I$5:I40))</f>
        <v/>
      </c>
    </row>
    <row r="41">
      <c r="A41" s="28" t="n"/>
      <c r="B41" s="29" t="n"/>
      <c r="C41" s="29" t="n"/>
      <c r="D41" s="30">
        <f>IF(C41="","",IFERROR(INDEX(Settings!$C$21:$C$34,MATCH(C41,Settings!$B$21:$B$34,0)),"Check category"))</f>
        <v/>
      </c>
      <c r="E41" s="31" t="n"/>
      <c r="F41" s="29" t="n"/>
      <c r="G41" s="29" t="n"/>
      <c r="H41" s="30">
        <f>IF(A41="","",IFERROR(LOOKUP(A41,Settings!$C$14:$C$17,Settings!$B$14:$B$17),"Pre-MS1"))</f>
        <v/>
      </c>
      <c r="I41" s="32">
        <f>IF(OR(A41="",E41=""),0,IF(D41="Expense",-E41,E41))</f>
        <v/>
      </c>
      <c r="J41" s="33">
        <f>IF(A41="","",Settings!$C$5+SUM($I$5:I41))</f>
        <v/>
      </c>
    </row>
    <row r="42">
      <c r="A42" s="28" t="n"/>
      <c r="B42" s="29" t="n"/>
      <c r="C42" s="29" t="n"/>
      <c r="D42" s="30">
        <f>IF(C42="","",IFERROR(INDEX(Settings!$C$21:$C$34,MATCH(C42,Settings!$B$21:$B$34,0)),"Check category"))</f>
        <v/>
      </c>
      <c r="E42" s="31" t="n"/>
      <c r="F42" s="29" t="n"/>
      <c r="G42" s="29" t="n"/>
      <c r="H42" s="30">
        <f>IF(A42="","",IFERROR(LOOKUP(A42,Settings!$C$14:$C$17,Settings!$B$14:$B$17),"Pre-MS1"))</f>
        <v/>
      </c>
      <c r="I42" s="32">
        <f>IF(OR(A42="",E42=""),0,IF(D42="Expense",-E42,E42))</f>
        <v/>
      </c>
      <c r="J42" s="33">
        <f>IF(A42="","",Settings!$C$5+SUM($I$5:I42))</f>
        <v/>
      </c>
    </row>
    <row r="43">
      <c r="A43" s="28" t="n"/>
      <c r="B43" s="29" t="n"/>
      <c r="C43" s="29" t="n"/>
      <c r="D43" s="30">
        <f>IF(C43="","",IFERROR(INDEX(Settings!$C$21:$C$34,MATCH(C43,Settings!$B$21:$B$34,0)),"Check category"))</f>
        <v/>
      </c>
      <c r="E43" s="31" t="n"/>
      <c r="F43" s="29" t="n"/>
      <c r="G43" s="29" t="n"/>
      <c r="H43" s="30">
        <f>IF(A43="","",IFERROR(LOOKUP(A43,Settings!$C$14:$C$17,Settings!$B$14:$B$17),"Pre-MS1"))</f>
        <v/>
      </c>
      <c r="I43" s="32">
        <f>IF(OR(A43="",E43=""),0,IF(D43="Expense",-E43,E43))</f>
        <v/>
      </c>
      <c r="J43" s="33">
        <f>IF(A43="","",Settings!$C$5+SUM($I$5:I43))</f>
        <v/>
      </c>
    </row>
    <row r="44">
      <c r="A44" s="28" t="n"/>
      <c r="B44" s="29" t="n"/>
      <c r="C44" s="29" t="n"/>
      <c r="D44" s="30">
        <f>IF(C44="","",IFERROR(INDEX(Settings!$C$21:$C$34,MATCH(C44,Settings!$B$21:$B$34,0)),"Check category"))</f>
        <v/>
      </c>
      <c r="E44" s="31" t="n"/>
      <c r="F44" s="29" t="n"/>
      <c r="G44" s="29" t="n"/>
      <c r="H44" s="30">
        <f>IF(A44="","",IFERROR(LOOKUP(A44,Settings!$C$14:$C$17,Settings!$B$14:$B$17),"Pre-MS1"))</f>
        <v/>
      </c>
      <c r="I44" s="32">
        <f>IF(OR(A44="",E44=""),0,IF(D44="Expense",-E44,E44))</f>
        <v/>
      </c>
      <c r="J44" s="33">
        <f>IF(A44="","",Settings!$C$5+SUM($I$5:I44))</f>
        <v/>
      </c>
    </row>
    <row r="45">
      <c r="A45" s="28" t="n"/>
      <c r="B45" s="29" t="n"/>
      <c r="C45" s="29" t="n"/>
      <c r="D45" s="30">
        <f>IF(C45="","",IFERROR(INDEX(Settings!$C$21:$C$34,MATCH(C45,Settings!$B$21:$B$34,0)),"Check category"))</f>
        <v/>
      </c>
      <c r="E45" s="31" t="n"/>
      <c r="F45" s="29" t="n"/>
      <c r="G45" s="29" t="n"/>
      <c r="H45" s="30">
        <f>IF(A45="","",IFERROR(LOOKUP(A45,Settings!$C$14:$C$17,Settings!$B$14:$B$17),"Pre-MS1"))</f>
        <v/>
      </c>
      <c r="I45" s="32">
        <f>IF(OR(A45="",E45=""),0,IF(D45="Expense",-E45,E45))</f>
        <v/>
      </c>
      <c r="J45" s="33">
        <f>IF(A45="","",Settings!$C$5+SUM($I$5:I45))</f>
        <v/>
      </c>
    </row>
    <row r="46">
      <c r="A46" s="28" t="n"/>
      <c r="B46" s="29" t="n"/>
      <c r="C46" s="29" t="n"/>
      <c r="D46" s="30">
        <f>IF(C46="","",IFERROR(INDEX(Settings!$C$21:$C$34,MATCH(C46,Settings!$B$21:$B$34,0)),"Check category"))</f>
        <v/>
      </c>
      <c r="E46" s="31" t="n"/>
      <c r="F46" s="29" t="n"/>
      <c r="G46" s="29" t="n"/>
      <c r="H46" s="30">
        <f>IF(A46="","",IFERROR(LOOKUP(A46,Settings!$C$14:$C$17,Settings!$B$14:$B$17),"Pre-MS1"))</f>
        <v/>
      </c>
      <c r="I46" s="32">
        <f>IF(OR(A46="",E46=""),0,IF(D46="Expense",-E46,E46))</f>
        <v/>
      </c>
      <c r="J46" s="33">
        <f>IF(A46="","",Settings!$C$5+SUM($I$5:I46))</f>
        <v/>
      </c>
    </row>
    <row r="47">
      <c r="A47" s="28" t="n"/>
      <c r="B47" s="29" t="n"/>
      <c r="C47" s="29" t="n"/>
      <c r="D47" s="30">
        <f>IF(C47="","",IFERROR(INDEX(Settings!$C$21:$C$34,MATCH(C47,Settings!$B$21:$B$34,0)),"Check category"))</f>
        <v/>
      </c>
      <c r="E47" s="31" t="n"/>
      <c r="F47" s="29" t="n"/>
      <c r="G47" s="29" t="n"/>
      <c r="H47" s="30">
        <f>IF(A47="","",IFERROR(LOOKUP(A47,Settings!$C$14:$C$17,Settings!$B$14:$B$17),"Pre-MS1"))</f>
        <v/>
      </c>
      <c r="I47" s="32">
        <f>IF(OR(A47="",E47=""),0,IF(D47="Expense",-E47,E47))</f>
        <v/>
      </c>
      <c r="J47" s="33">
        <f>IF(A47="","",Settings!$C$5+SUM($I$5:I47))</f>
        <v/>
      </c>
    </row>
    <row r="48">
      <c r="A48" s="28" t="n"/>
      <c r="B48" s="29" t="n"/>
      <c r="C48" s="29" t="n"/>
      <c r="D48" s="30">
        <f>IF(C48="","",IFERROR(INDEX(Settings!$C$21:$C$34,MATCH(C48,Settings!$B$21:$B$34,0)),"Check category"))</f>
        <v/>
      </c>
      <c r="E48" s="31" t="n"/>
      <c r="F48" s="29" t="n"/>
      <c r="G48" s="29" t="n"/>
      <c r="H48" s="30">
        <f>IF(A48="","",IFERROR(LOOKUP(A48,Settings!$C$14:$C$17,Settings!$B$14:$B$17),"Pre-MS1"))</f>
        <v/>
      </c>
      <c r="I48" s="32">
        <f>IF(OR(A48="",E48=""),0,IF(D48="Expense",-E48,E48))</f>
        <v/>
      </c>
      <c r="J48" s="33">
        <f>IF(A48="","",Settings!$C$5+SUM($I$5:I48))</f>
        <v/>
      </c>
    </row>
    <row r="49">
      <c r="A49" s="28" t="n"/>
      <c r="B49" s="29" t="n"/>
      <c r="C49" s="29" t="n"/>
      <c r="D49" s="30">
        <f>IF(C49="","",IFERROR(INDEX(Settings!$C$21:$C$34,MATCH(C49,Settings!$B$21:$B$34,0)),"Check category"))</f>
        <v/>
      </c>
      <c r="E49" s="31" t="n"/>
      <c r="F49" s="29" t="n"/>
      <c r="G49" s="29" t="n"/>
      <c r="H49" s="30">
        <f>IF(A49="","",IFERROR(LOOKUP(A49,Settings!$C$14:$C$17,Settings!$B$14:$B$17),"Pre-MS1"))</f>
        <v/>
      </c>
      <c r="I49" s="32">
        <f>IF(OR(A49="",E49=""),0,IF(D49="Expense",-E49,E49))</f>
        <v/>
      </c>
      <c r="J49" s="33">
        <f>IF(A49="","",Settings!$C$5+SUM($I$5:I49))</f>
        <v/>
      </c>
    </row>
    <row r="50">
      <c r="A50" s="28" t="n"/>
      <c r="B50" s="29" t="n"/>
      <c r="C50" s="29" t="n"/>
      <c r="D50" s="30">
        <f>IF(C50="","",IFERROR(INDEX(Settings!$C$21:$C$34,MATCH(C50,Settings!$B$21:$B$34,0)),"Check category"))</f>
        <v/>
      </c>
      <c r="E50" s="31" t="n"/>
      <c r="F50" s="29" t="n"/>
      <c r="G50" s="29" t="n"/>
      <c r="H50" s="30">
        <f>IF(A50="","",IFERROR(LOOKUP(A50,Settings!$C$14:$C$17,Settings!$B$14:$B$17),"Pre-MS1"))</f>
        <v/>
      </c>
      <c r="I50" s="32">
        <f>IF(OR(A50="",E50=""),0,IF(D50="Expense",-E50,E50))</f>
        <v/>
      </c>
      <c r="J50" s="33">
        <f>IF(A50="","",Settings!$C$5+SUM($I$5:I50))</f>
        <v/>
      </c>
    </row>
    <row r="51">
      <c r="A51" s="28" t="n"/>
      <c r="B51" s="29" t="n"/>
      <c r="C51" s="29" t="n"/>
      <c r="D51" s="30">
        <f>IF(C51="","",IFERROR(INDEX(Settings!$C$21:$C$34,MATCH(C51,Settings!$B$21:$B$34,0)),"Check category"))</f>
        <v/>
      </c>
      <c r="E51" s="31" t="n"/>
      <c r="F51" s="29" t="n"/>
      <c r="G51" s="29" t="n"/>
      <c r="H51" s="30">
        <f>IF(A51="","",IFERROR(LOOKUP(A51,Settings!$C$14:$C$17,Settings!$B$14:$B$17),"Pre-MS1"))</f>
        <v/>
      </c>
      <c r="I51" s="32">
        <f>IF(OR(A51="",E51=""),0,IF(D51="Expense",-E51,E51))</f>
        <v/>
      </c>
      <c r="J51" s="33">
        <f>IF(A51="","",Settings!$C$5+SUM($I$5:I51))</f>
        <v/>
      </c>
    </row>
    <row r="52">
      <c r="A52" s="28" t="n"/>
      <c r="B52" s="29" t="n"/>
      <c r="C52" s="29" t="n"/>
      <c r="D52" s="30">
        <f>IF(C52="","",IFERROR(INDEX(Settings!$C$21:$C$34,MATCH(C52,Settings!$B$21:$B$34,0)),"Check category"))</f>
        <v/>
      </c>
      <c r="E52" s="31" t="n"/>
      <c r="F52" s="29" t="n"/>
      <c r="G52" s="29" t="n"/>
      <c r="H52" s="30">
        <f>IF(A52="","",IFERROR(LOOKUP(A52,Settings!$C$14:$C$17,Settings!$B$14:$B$17),"Pre-MS1"))</f>
        <v/>
      </c>
      <c r="I52" s="32">
        <f>IF(OR(A52="",E52=""),0,IF(D52="Expense",-E52,E52))</f>
        <v/>
      </c>
      <c r="J52" s="33">
        <f>IF(A52="","",Settings!$C$5+SUM($I$5:I52))</f>
        <v/>
      </c>
    </row>
    <row r="53">
      <c r="A53" s="28" t="n"/>
      <c r="B53" s="29" t="n"/>
      <c r="C53" s="29" t="n"/>
      <c r="D53" s="30">
        <f>IF(C53="","",IFERROR(INDEX(Settings!$C$21:$C$34,MATCH(C53,Settings!$B$21:$B$34,0)),"Check category"))</f>
        <v/>
      </c>
      <c r="E53" s="31" t="n"/>
      <c r="F53" s="29" t="n"/>
      <c r="G53" s="29" t="n"/>
      <c r="H53" s="30">
        <f>IF(A53="","",IFERROR(LOOKUP(A53,Settings!$C$14:$C$17,Settings!$B$14:$B$17),"Pre-MS1"))</f>
        <v/>
      </c>
      <c r="I53" s="32">
        <f>IF(OR(A53="",E53=""),0,IF(D53="Expense",-E53,E53))</f>
        <v/>
      </c>
      <c r="J53" s="33">
        <f>IF(A53="","",Settings!$C$5+SUM($I$5:I53))</f>
        <v/>
      </c>
    </row>
    <row r="54">
      <c r="A54" s="28" t="n"/>
      <c r="B54" s="29" t="n"/>
      <c r="C54" s="29" t="n"/>
      <c r="D54" s="30">
        <f>IF(C54="","",IFERROR(INDEX(Settings!$C$21:$C$34,MATCH(C54,Settings!$B$21:$B$34,0)),"Check category"))</f>
        <v/>
      </c>
      <c r="E54" s="31" t="n"/>
      <c r="F54" s="29" t="n"/>
      <c r="G54" s="29" t="n"/>
      <c r="H54" s="30">
        <f>IF(A54="","",IFERROR(LOOKUP(A54,Settings!$C$14:$C$17,Settings!$B$14:$B$17),"Pre-MS1"))</f>
        <v/>
      </c>
      <c r="I54" s="32">
        <f>IF(OR(A54="",E54=""),0,IF(D54="Expense",-E54,E54))</f>
        <v/>
      </c>
      <c r="J54" s="33">
        <f>IF(A54="","",Settings!$C$5+SUM($I$5:I54))</f>
        <v/>
      </c>
    </row>
    <row r="55">
      <c r="A55" s="28" t="n"/>
      <c r="B55" s="29" t="n"/>
      <c r="C55" s="29" t="n"/>
      <c r="D55" s="30">
        <f>IF(C55="","",IFERROR(INDEX(Settings!$C$21:$C$34,MATCH(C55,Settings!$B$21:$B$34,0)),"Check category"))</f>
        <v/>
      </c>
      <c r="E55" s="31" t="n"/>
      <c r="F55" s="29" t="n"/>
      <c r="G55" s="29" t="n"/>
      <c r="H55" s="30">
        <f>IF(A55="","",IFERROR(LOOKUP(A55,Settings!$C$14:$C$17,Settings!$B$14:$B$17),"Pre-MS1"))</f>
        <v/>
      </c>
      <c r="I55" s="32">
        <f>IF(OR(A55="",E55=""),0,IF(D55="Expense",-E55,E55))</f>
        <v/>
      </c>
      <c r="J55" s="33">
        <f>IF(A55="","",Settings!$C$5+SUM($I$5:I55))</f>
        <v/>
      </c>
    </row>
    <row r="56">
      <c r="A56" s="28" t="n"/>
      <c r="B56" s="29" t="n"/>
      <c r="C56" s="29" t="n"/>
      <c r="D56" s="30">
        <f>IF(C56="","",IFERROR(INDEX(Settings!$C$21:$C$34,MATCH(C56,Settings!$B$21:$B$34,0)),"Check category"))</f>
        <v/>
      </c>
      <c r="E56" s="31" t="n"/>
      <c r="F56" s="29" t="n"/>
      <c r="G56" s="29" t="n"/>
      <c r="H56" s="30">
        <f>IF(A56="","",IFERROR(LOOKUP(A56,Settings!$C$14:$C$17,Settings!$B$14:$B$17),"Pre-MS1"))</f>
        <v/>
      </c>
      <c r="I56" s="32">
        <f>IF(OR(A56="",E56=""),0,IF(D56="Expense",-E56,E56))</f>
        <v/>
      </c>
      <c r="J56" s="33">
        <f>IF(A56="","",Settings!$C$5+SUM($I$5:I56))</f>
        <v/>
      </c>
    </row>
    <row r="57">
      <c r="A57" s="28" t="n"/>
      <c r="B57" s="29" t="n"/>
      <c r="C57" s="29" t="n"/>
      <c r="D57" s="30">
        <f>IF(C57="","",IFERROR(INDEX(Settings!$C$21:$C$34,MATCH(C57,Settings!$B$21:$B$34,0)),"Check category"))</f>
        <v/>
      </c>
      <c r="E57" s="31" t="n"/>
      <c r="F57" s="29" t="n"/>
      <c r="G57" s="29" t="n"/>
      <c r="H57" s="30">
        <f>IF(A57="","",IFERROR(LOOKUP(A57,Settings!$C$14:$C$17,Settings!$B$14:$B$17),"Pre-MS1"))</f>
        <v/>
      </c>
      <c r="I57" s="32">
        <f>IF(OR(A57="",E57=""),0,IF(D57="Expense",-E57,E57))</f>
        <v/>
      </c>
      <c r="J57" s="33">
        <f>IF(A57="","",Settings!$C$5+SUM($I$5:I57))</f>
        <v/>
      </c>
    </row>
    <row r="58">
      <c r="A58" s="28" t="n"/>
      <c r="B58" s="29" t="n"/>
      <c r="C58" s="29" t="n"/>
      <c r="D58" s="30">
        <f>IF(C58="","",IFERROR(INDEX(Settings!$C$21:$C$34,MATCH(C58,Settings!$B$21:$B$34,0)),"Check category"))</f>
        <v/>
      </c>
      <c r="E58" s="31" t="n"/>
      <c r="F58" s="29" t="n"/>
      <c r="G58" s="29" t="n"/>
      <c r="H58" s="30">
        <f>IF(A58="","",IFERROR(LOOKUP(A58,Settings!$C$14:$C$17,Settings!$B$14:$B$17),"Pre-MS1"))</f>
        <v/>
      </c>
      <c r="I58" s="32">
        <f>IF(OR(A58="",E58=""),0,IF(D58="Expense",-E58,E58))</f>
        <v/>
      </c>
      <c r="J58" s="33">
        <f>IF(A58="","",Settings!$C$5+SUM($I$5:I58))</f>
        <v/>
      </c>
    </row>
    <row r="59">
      <c r="A59" s="28" t="n"/>
      <c r="B59" s="29" t="n"/>
      <c r="C59" s="29" t="n"/>
      <c r="D59" s="30">
        <f>IF(C59="","",IFERROR(INDEX(Settings!$C$21:$C$34,MATCH(C59,Settings!$B$21:$B$34,0)),"Check category"))</f>
        <v/>
      </c>
      <c r="E59" s="31" t="n"/>
      <c r="F59" s="29" t="n"/>
      <c r="G59" s="29" t="n"/>
      <c r="H59" s="30">
        <f>IF(A59="","",IFERROR(LOOKUP(A59,Settings!$C$14:$C$17,Settings!$B$14:$B$17),"Pre-MS1"))</f>
        <v/>
      </c>
      <c r="I59" s="32">
        <f>IF(OR(A59="",E59=""),0,IF(D59="Expense",-E59,E59))</f>
        <v/>
      </c>
      <c r="J59" s="33">
        <f>IF(A59="","",Settings!$C$5+SUM($I$5:I59))</f>
        <v/>
      </c>
    </row>
    <row r="60">
      <c r="A60" s="28" t="n"/>
      <c r="B60" s="29" t="n"/>
      <c r="C60" s="29" t="n"/>
      <c r="D60" s="30">
        <f>IF(C60="","",IFERROR(INDEX(Settings!$C$21:$C$34,MATCH(C60,Settings!$B$21:$B$34,0)),"Check category"))</f>
        <v/>
      </c>
      <c r="E60" s="31" t="n"/>
      <c r="F60" s="29" t="n"/>
      <c r="G60" s="29" t="n"/>
      <c r="H60" s="30">
        <f>IF(A60="","",IFERROR(LOOKUP(A60,Settings!$C$14:$C$17,Settings!$B$14:$B$17),"Pre-MS1"))</f>
        <v/>
      </c>
      <c r="I60" s="32">
        <f>IF(OR(A60="",E60=""),0,IF(D60="Expense",-E60,E60))</f>
        <v/>
      </c>
      <c r="J60" s="33">
        <f>IF(A60="","",Settings!$C$5+SUM($I$5:I60))</f>
        <v/>
      </c>
    </row>
    <row r="61">
      <c r="A61" s="28" t="n"/>
      <c r="B61" s="29" t="n"/>
      <c r="C61" s="29" t="n"/>
      <c r="D61" s="30">
        <f>IF(C61="","",IFERROR(INDEX(Settings!$C$21:$C$34,MATCH(C61,Settings!$B$21:$B$34,0)),"Check category"))</f>
        <v/>
      </c>
      <c r="E61" s="31" t="n"/>
      <c r="F61" s="29" t="n"/>
      <c r="G61" s="29" t="n"/>
      <c r="H61" s="30">
        <f>IF(A61="","",IFERROR(LOOKUP(A61,Settings!$C$14:$C$17,Settings!$B$14:$B$17),"Pre-MS1"))</f>
        <v/>
      </c>
      <c r="I61" s="32">
        <f>IF(OR(A61="",E61=""),0,IF(D61="Expense",-E61,E61))</f>
        <v/>
      </c>
      <c r="J61" s="33">
        <f>IF(A61="","",Settings!$C$5+SUM($I$5:I61))</f>
        <v/>
      </c>
    </row>
    <row r="62">
      <c r="A62" s="28" t="n"/>
      <c r="B62" s="29" t="n"/>
      <c r="C62" s="29" t="n"/>
      <c r="D62" s="30">
        <f>IF(C62="","",IFERROR(INDEX(Settings!$C$21:$C$34,MATCH(C62,Settings!$B$21:$B$34,0)),"Check category"))</f>
        <v/>
      </c>
      <c r="E62" s="31" t="n"/>
      <c r="F62" s="29" t="n"/>
      <c r="G62" s="29" t="n"/>
      <c r="H62" s="30">
        <f>IF(A62="","",IFERROR(LOOKUP(A62,Settings!$C$14:$C$17,Settings!$B$14:$B$17),"Pre-MS1"))</f>
        <v/>
      </c>
      <c r="I62" s="32">
        <f>IF(OR(A62="",E62=""),0,IF(D62="Expense",-E62,E62))</f>
        <v/>
      </c>
      <c r="J62" s="33">
        <f>IF(A62="","",Settings!$C$5+SUM($I$5:I62))</f>
        <v/>
      </c>
    </row>
    <row r="63">
      <c r="A63" s="28" t="n"/>
      <c r="B63" s="29" t="n"/>
      <c r="C63" s="29" t="n"/>
      <c r="D63" s="30">
        <f>IF(C63="","",IFERROR(INDEX(Settings!$C$21:$C$34,MATCH(C63,Settings!$B$21:$B$34,0)),"Check category"))</f>
        <v/>
      </c>
      <c r="E63" s="31" t="n"/>
      <c r="F63" s="29" t="n"/>
      <c r="G63" s="29" t="n"/>
      <c r="H63" s="30">
        <f>IF(A63="","",IFERROR(LOOKUP(A63,Settings!$C$14:$C$17,Settings!$B$14:$B$17),"Pre-MS1"))</f>
        <v/>
      </c>
      <c r="I63" s="32">
        <f>IF(OR(A63="",E63=""),0,IF(D63="Expense",-E63,E63))</f>
        <v/>
      </c>
      <c r="J63" s="33">
        <f>IF(A63="","",Settings!$C$5+SUM($I$5:I63))</f>
        <v/>
      </c>
    </row>
    <row r="64">
      <c r="A64" s="28" t="n"/>
      <c r="B64" s="29" t="n"/>
      <c r="C64" s="29" t="n"/>
      <c r="D64" s="30">
        <f>IF(C64="","",IFERROR(INDEX(Settings!$C$21:$C$34,MATCH(C64,Settings!$B$21:$B$34,0)),"Check category"))</f>
        <v/>
      </c>
      <c r="E64" s="31" t="n"/>
      <c r="F64" s="29" t="n"/>
      <c r="G64" s="29" t="n"/>
      <c r="H64" s="30">
        <f>IF(A64="","",IFERROR(LOOKUP(A64,Settings!$C$14:$C$17,Settings!$B$14:$B$17),"Pre-MS1"))</f>
        <v/>
      </c>
      <c r="I64" s="32">
        <f>IF(OR(A64="",E64=""),0,IF(D64="Expense",-E64,E64))</f>
        <v/>
      </c>
      <c r="J64" s="33">
        <f>IF(A64="","",Settings!$C$5+SUM($I$5:I64))</f>
        <v/>
      </c>
    </row>
    <row r="65">
      <c r="A65" s="28" t="n"/>
      <c r="B65" s="29" t="n"/>
      <c r="C65" s="29" t="n"/>
      <c r="D65" s="30">
        <f>IF(C65="","",IFERROR(INDEX(Settings!$C$21:$C$34,MATCH(C65,Settings!$B$21:$B$34,0)),"Check category"))</f>
        <v/>
      </c>
      <c r="E65" s="31" t="n"/>
      <c r="F65" s="29" t="n"/>
      <c r="G65" s="29" t="n"/>
      <c r="H65" s="30">
        <f>IF(A65="","",IFERROR(LOOKUP(A65,Settings!$C$14:$C$17,Settings!$B$14:$B$17),"Pre-MS1"))</f>
        <v/>
      </c>
      <c r="I65" s="32">
        <f>IF(OR(A65="",E65=""),0,IF(D65="Expense",-E65,E65))</f>
        <v/>
      </c>
      <c r="J65" s="33">
        <f>IF(A65="","",Settings!$C$5+SUM($I$5:I65))</f>
        <v/>
      </c>
    </row>
    <row r="66">
      <c r="A66" s="28" t="n"/>
      <c r="B66" s="29" t="n"/>
      <c r="C66" s="29" t="n"/>
      <c r="D66" s="30">
        <f>IF(C66="","",IFERROR(INDEX(Settings!$C$21:$C$34,MATCH(C66,Settings!$B$21:$B$34,0)),"Check category"))</f>
        <v/>
      </c>
      <c r="E66" s="31" t="n"/>
      <c r="F66" s="29" t="n"/>
      <c r="G66" s="29" t="n"/>
      <c r="H66" s="30">
        <f>IF(A66="","",IFERROR(LOOKUP(A66,Settings!$C$14:$C$17,Settings!$B$14:$B$17),"Pre-MS1"))</f>
        <v/>
      </c>
      <c r="I66" s="32">
        <f>IF(OR(A66="",E66=""),0,IF(D66="Expense",-E66,E66))</f>
        <v/>
      </c>
      <c r="J66" s="33">
        <f>IF(A66="","",Settings!$C$5+SUM($I$5:I66))</f>
        <v/>
      </c>
    </row>
    <row r="67">
      <c r="A67" s="28" t="n"/>
      <c r="B67" s="29" t="n"/>
      <c r="C67" s="29" t="n"/>
      <c r="D67" s="30">
        <f>IF(C67="","",IFERROR(INDEX(Settings!$C$21:$C$34,MATCH(C67,Settings!$B$21:$B$34,0)),"Check category"))</f>
        <v/>
      </c>
      <c r="E67" s="31" t="n"/>
      <c r="F67" s="29" t="n"/>
      <c r="G67" s="29" t="n"/>
      <c r="H67" s="30">
        <f>IF(A67="","",IFERROR(LOOKUP(A67,Settings!$C$14:$C$17,Settings!$B$14:$B$17),"Pre-MS1"))</f>
        <v/>
      </c>
      <c r="I67" s="32">
        <f>IF(OR(A67="",E67=""),0,IF(D67="Expense",-E67,E67))</f>
        <v/>
      </c>
      <c r="J67" s="33">
        <f>IF(A67="","",Settings!$C$5+SUM($I$5:I67))</f>
        <v/>
      </c>
    </row>
    <row r="68">
      <c r="A68" s="28" t="n"/>
      <c r="B68" s="29" t="n"/>
      <c r="C68" s="29" t="n"/>
      <c r="D68" s="30">
        <f>IF(C68="","",IFERROR(INDEX(Settings!$C$21:$C$34,MATCH(C68,Settings!$B$21:$B$34,0)),"Check category"))</f>
        <v/>
      </c>
      <c r="E68" s="31" t="n"/>
      <c r="F68" s="29" t="n"/>
      <c r="G68" s="29" t="n"/>
      <c r="H68" s="30">
        <f>IF(A68="","",IFERROR(LOOKUP(A68,Settings!$C$14:$C$17,Settings!$B$14:$B$17),"Pre-MS1"))</f>
        <v/>
      </c>
      <c r="I68" s="32">
        <f>IF(OR(A68="",E68=""),0,IF(D68="Expense",-E68,E68))</f>
        <v/>
      </c>
      <c r="J68" s="33">
        <f>IF(A68="","",Settings!$C$5+SUM($I$5:I68))</f>
        <v/>
      </c>
    </row>
    <row r="69">
      <c r="A69" s="28" t="n"/>
      <c r="B69" s="29" t="n"/>
      <c r="C69" s="29" t="n"/>
      <c r="D69" s="30">
        <f>IF(C69="","",IFERROR(INDEX(Settings!$C$21:$C$34,MATCH(C69,Settings!$B$21:$B$34,0)),"Check category"))</f>
        <v/>
      </c>
      <c r="E69" s="31" t="n"/>
      <c r="F69" s="29" t="n"/>
      <c r="G69" s="29" t="n"/>
      <c r="H69" s="30">
        <f>IF(A69="","",IFERROR(LOOKUP(A69,Settings!$C$14:$C$17,Settings!$B$14:$B$17),"Pre-MS1"))</f>
        <v/>
      </c>
      <c r="I69" s="32">
        <f>IF(OR(A69="",E69=""),0,IF(D69="Expense",-E69,E69))</f>
        <v/>
      </c>
      <c r="J69" s="33">
        <f>IF(A69="","",Settings!$C$5+SUM($I$5:I69))</f>
        <v/>
      </c>
    </row>
    <row r="70">
      <c r="A70" s="28" t="n"/>
      <c r="B70" s="29" t="n"/>
      <c r="C70" s="29" t="n"/>
      <c r="D70" s="30">
        <f>IF(C70="","",IFERROR(INDEX(Settings!$C$21:$C$34,MATCH(C70,Settings!$B$21:$B$34,0)),"Check category"))</f>
        <v/>
      </c>
      <c r="E70" s="31" t="n"/>
      <c r="F70" s="29" t="n"/>
      <c r="G70" s="29" t="n"/>
      <c r="H70" s="30">
        <f>IF(A70="","",IFERROR(LOOKUP(A70,Settings!$C$14:$C$17,Settings!$B$14:$B$17),"Pre-MS1"))</f>
        <v/>
      </c>
      <c r="I70" s="32">
        <f>IF(OR(A70="",E70=""),0,IF(D70="Expense",-E70,E70))</f>
        <v/>
      </c>
      <c r="J70" s="33">
        <f>IF(A70="","",Settings!$C$5+SUM($I$5:I70))</f>
        <v/>
      </c>
    </row>
    <row r="71">
      <c r="A71" s="28" t="n"/>
      <c r="B71" s="29" t="n"/>
      <c r="C71" s="29" t="n"/>
      <c r="D71" s="30">
        <f>IF(C71="","",IFERROR(INDEX(Settings!$C$21:$C$34,MATCH(C71,Settings!$B$21:$B$34,0)),"Check category"))</f>
        <v/>
      </c>
      <c r="E71" s="31" t="n"/>
      <c r="F71" s="29" t="n"/>
      <c r="G71" s="29" t="n"/>
      <c r="H71" s="30">
        <f>IF(A71="","",IFERROR(LOOKUP(A71,Settings!$C$14:$C$17,Settings!$B$14:$B$17),"Pre-MS1"))</f>
        <v/>
      </c>
      <c r="I71" s="32">
        <f>IF(OR(A71="",E71=""),0,IF(D71="Expense",-E71,E71))</f>
        <v/>
      </c>
      <c r="J71" s="33">
        <f>IF(A71="","",Settings!$C$5+SUM($I$5:I71))</f>
        <v/>
      </c>
    </row>
    <row r="72">
      <c r="A72" s="28" t="n"/>
      <c r="B72" s="29" t="n"/>
      <c r="C72" s="29" t="n"/>
      <c r="D72" s="30">
        <f>IF(C72="","",IFERROR(INDEX(Settings!$C$21:$C$34,MATCH(C72,Settings!$B$21:$B$34,0)),"Check category"))</f>
        <v/>
      </c>
      <c r="E72" s="31" t="n"/>
      <c r="F72" s="29" t="n"/>
      <c r="G72" s="29" t="n"/>
      <c r="H72" s="30">
        <f>IF(A72="","",IFERROR(LOOKUP(A72,Settings!$C$14:$C$17,Settings!$B$14:$B$17),"Pre-MS1"))</f>
        <v/>
      </c>
      <c r="I72" s="32">
        <f>IF(OR(A72="",E72=""),0,IF(D72="Expense",-E72,E72))</f>
        <v/>
      </c>
      <c r="J72" s="33">
        <f>IF(A72="","",Settings!$C$5+SUM($I$5:I72))</f>
        <v/>
      </c>
    </row>
    <row r="73">
      <c r="A73" s="28" t="n"/>
      <c r="B73" s="29" t="n"/>
      <c r="C73" s="29" t="n"/>
      <c r="D73" s="30">
        <f>IF(C73="","",IFERROR(INDEX(Settings!$C$21:$C$34,MATCH(C73,Settings!$B$21:$B$34,0)),"Check category"))</f>
        <v/>
      </c>
      <c r="E73" s="31" t="n"/>
      <c r="F73" s="29" t="n"/>
      <c r="G73" s="29" t="n"/>
      <c r="H73" s="30">
        <f>IF(A73="","",IFERROR(LOOKUP(A73,Settings!$C$14:$C$17,Settings!$B$14:$B$17),"Pre-MS1"))</f>
        <v/>
      </c>
      <c r="I73" s="32">
        <f>IF(OR(A73="",E73=""),0,IF(D73="Expense",-E73,E73))</f>
        <v/>
      </c>
      <c r="J73" s="33">
        <f>IF(A73="","",Settings!$C$5+SUM($I$5:I73))</f>
        <v/>
      </c>
    </row>
    <row r="74">
      <c r="A74" s="28" t="n"/>
      <c r="B74" s="29" t="n"/>
      <c r="C74" s="29" t="n"/>
      <c r="D74" s="30">
        <f>IF(C74="","",IFERROR(INDEX(Settings!$C$21:$C$34,MATCH(C74,Settings!$B$21:$B$34,0)),"Check category"))</f>
        <v/>
      </c>
      <c r="E74" s="31" t="n"/>
      <c r="F74" s="29" t="n"/>
      <c r="G74" s="29" t="n"/>
      <c r="H74" s="30">
        <f>IF(A74="","",IFERROR(LOOKUP(A74,Settings!$C$14:$C$17,Settings!$B$14:$B$17),"Pre-MS1"))</f>
        <v/>
      </c>
      <c r="I74" s="32">
        <f>IF(OR(A74="",E74=""),0,IF(D74="Expense",-E74,E74))</f>
        <v/>
      </c>
      <c r="J74" s="33">
        <f>IF(A74="","",Settings!$C$5+SUM($I$5:I74))</f>
        <v/>
      </c>
    </row>
    <row r="75">
      <c r="A75" s="28" t="n"/>
      <c r="B75" s="29" t="n"/>
      <c r="C75" s="29" t="n"/>
      <c r="D75" s="30">
        <f>IF(C75="","",IFERROR(INDEX(Settings!$C$21:$C$34,MATCH(C75,Settings!$B$21:$B$34,0)),"Check category"))</f>
        <v/>
      </c>
      <c r="E75" s="31" t="n"/>
      <c r="F75" s="29" t="n"/>
      <c r="G75" s="29" t="n"/>
      <c r="H75" s="30">
        <f>IF(A75="","",IFERROR(LOOKUP(A75,Settings!$C$14:$C$17,Settings!$B$14:$B$17),"Pre-MS1"))</f>
        <v/>
      </c>
      <c r="I75" s="32">
        <f>IF(OR(A75="",E75=""),0,IF(D75="Expense",-E75,E75))</f>
        <v/>
      </c>
      <c r="J75" s="33">
        <f>IF(A75="","",Settings!$C$5+SUM($I$5:I75))</f>
        <v/>
      </c>
    </row>
    <row r="76">
      <c r="A76" s="28" t="n"/>
      <c r="B76" s="29" t="n"/>
      <c r="C76" s="29" t="n"/>
      <c r="D76" s="30">
        <f>IF(C76="","",IFERROR(INDEX(Settings!$C$21:$C$34,MATCH(C76,Settings!$B$21:$B$34,0)),"Check category"))</f>
        <v/>
      </c>
      <c r="E76" s="31" t="n"/>
      <c r="F76" s="29" t="n"/>
      <c r="G76" s="29" t="n"/>
      <c r="H76" s="30">
        <f>IF(A76="","",IFERROR(LOOKUP(A76,Settings!$C$14:$C$17,Settings!$B$14:$B$17),"Pre-MS1"))</f>
        <v/>
      </c>
      <c r="I76" s="32">
        <f>IF(OR(A76="",E76=""),0,IF(D76="Expense",-E76,E76))</f>
        <v/>
      </c>
      <c r="J76" s="33">
        <f>IF(A76="","",Settings!$C$5+SUM($I$5:I76))</f>
        <v/>
      </c>
    </row>
    <row r="77">
      <c r="A77" s="28" t="n"/>
      <c r="B77" s="29" t="n"/>
      <c r="C77" s="29" t="n"/>
      <c r="D77" s="30">
        <f>IF(C77="","",IFERROR(INDEX(Settings!$C$21:$C$34,MATCH(C77,Settings!$B$21:$B$34,0)),"Check category"))</f>
        <v/>
      </c>
      <c r="E77" s="31" t="n"/>
      <c r="F77" s="29" t="n"/>
      <c r="G77" s="29" t="n"/>
      <c r="H77" s="30">
        <f>IF(A77="","",IFERROR(LOOKUP(A77,Settings!$C$14:$C$17,Settings!$B$14:$B$17),"Pre-MS1"))</f>
        <v/>
      </c>
      <c r="I77" s="32">
        <f>IF(OR(A77="",E77=""),0,IF(D77="Expense",-E77,E77))</f>
        <v/>
      </c>
      <c r="J77" s="33">
        <f>IF(A77="","",Settings!$C$5+SUM($I$5:I77))</f>
        <v/>
      </c>
    </row>
    <row r="78">
      <c r="A78" s="28" t="n"/>
      <c r="B78" s="29" t="n"/>
      <c r="C78" s="29" t="n"/>
      <c r="D78" s="30">
        <f>IF(C78="","",IFERROR(INDEX(Settings!$C$21:$C$34,MATCH(C78,Settings!$B$21:$B$34,0)),"Check category"))</f>
        <v/>
      </c>
      <c r="E78" s="31" t="n"/>
      <c r="F78" s="29" t="n"/>
      <c r="G78" s="29" t="n"/>
      <c r="H78" s="30">
        <f>IF(A78="","",IFERROR(LOOKUP(A78,Settings!$C$14:$C$17,Settings!$B$14:$B$17),"Pre-MS1"))</f>
        <v/>
      </c>
      <c r="I78" s="32">
        <f>IF(OR(A78="",E78=""),0,IF(D78="Expense",-E78,E78))</f>
        <v/>
      </c>
      <c r="J78" s="33">
        <f>IF(A78="","",Settings!$C$5+SUM($I$5:I78))</f>
        <v/>
      </c>
    </row>
    <row r="79">
      <c r="A79" s="28" t="n"/>
      <c r="B79" s="29" t="n"/>
      <c r="C79" s="29" t="n"/>
      <c r="D79" s="30">
        <f>IF(C79="","",IFERROR(INDEX(Settings!$C$21:$C$34,MATCH(C79,Settings!$B$21:$B$34,0)),"Check category"))</f>
        <v/>
      </c>
      <c r="E79" s="31" t="n"/>
      <c r="F79" s="29" t="n"/>
      <c r="G79" s="29" t="n"/>
      <c r="H79" s="30">
        <f>IF(A79="","",IFERROR(LOOKUP(A79,Settings!$C$14:$C$17,Settings!$B$14:$B$17),"Pre-MS1"))</f>
        <v/>
      </c>
      <c r="I79" s="32">
        <f>IF(OR(A79="",E79=""),0,IF(D79="Expense",-E79,E79))</f>
        <v/>
      </c>
      <c r="J79" s="33">
        <f>IF(A79="","",Settings!$C$5+SUM($I$5:I79))</f>
        <v/>
      </c>
    </row>
    <row r="80">
      <c r="A80" s="28" t="n"/>
      <c r="B80" s="29" t="n"/>
      <c r="C80" s="29" t="n"/>
      <c r="D80" s="30">
        <f>IF(C80="","",IFERROR(INDEX(Settings!$C$21:$C$34,MATCH(C80,Settings!$B$21:$B$34,0)),"Check category"))</f>
        <v/>
      </c>
      <c r="E80" s="31" t="n"/>
      <c r="F80" s="29" t="n"/>
      <c r="G80" s="29" t="n"/>
      <c r="H80" s="30">
        <f>IF(A80="","",IFERROR(LOOKUP(A80,Settings!$C$14:$C$17,Settings!$B$14:$B$17),"Pre-MS1"))</f>
        <v/>
      </c>
      <c r="I80" s="32">
        <f>IF(OR(A80="",E80=""),0,IF(D80="Expense",-E80,E80))</f>
        <v/>
      </c>
      <c r="J80" s="33">
        <f>IF(A80="","",Settings!$C$5+SUM($I$5:I80))</f>
        <v/>
      </c>
    </row>
    <row r="81">
      <c r="A81" s="28" t="n"/>
      <c r="B81" s="29" t="n"/>
      <c r="C81" s="29" t="n"/>
      <c r="D81" s="30">
        <f>IF(C81="","",IFERROR(INDEX(Settings!$C$21:$C$34,MATCH(C81,Settings!$B$21:$B$34,0)),"Check category"))</f>
        <v/>
      </c>
      <c r="E81" s="31" t="n"/>
      <c r="F81" s="29" t="n"/>
      <c r="G81" s="29" t="n"/>
      <c r="H81" s="30">
        <f>IF(A81="","",IFERROR(LOOKUP(A81,Settings!$C$14:$C$17,Settings!$B$14:$B$17),"Pre-MS1"))</f>
        <v/>
      </c>
      <c r="I81" s="32">
        <f>IF(OR(A81="",E81=""),0,IF(D81="Expense",-E81,E81))</f>
        <v/>
      </c>
      <c r="J81" s="33">
        <f>IF(A81="","",Settings!$C$5+SUM($I$5:I81))</f>
        <v/>
      </c>
    </row>
    <row r="82">
      <c r="A82" s="28" t="n"/>
      <c r="B82" s="29" t="n"/>
      <c r="C82" s="29" t="n"/>
      <c r="D82" s="30">
        <f>IF(C82="","",IFERROR(INDEX(Settings!$C$21:$C$34,MATCH(C82,Settings!$B$21:$B$34,0)),"Check category"))</f>
        <v/>
      </c>
      <c r="E82" s="31" t="n"/>
      <c r="F82" s="29" t="n"/>
      <c r="G82" s="29" t="n"/>
      <c r="H82" s="30">
        <f>IF(A82="","",IFERROR(LOOKUP(A82,Settings!$C$14:$C$17,Settings!$B$14:$B$17),"Pre-MS1"))</f>
        <v/>
      </c>
      <c r="I82" s="32">
        <f>IF(OR(A82="",E82=""),0,IF(D82="Expense",-E82,E82))</f>
        <v/>
      </c>
      <c r="J82" s="33">
        <f>IF(A82="","",Settings!$C$5+SUM($I$5:I82))</f>
        <v/>
      </c>
    </row>
    <row r="83">
      <c r="A83" s="28" t="n"/>
      <c r="B83" s="29" t="n"/>
      <c r="C83" s="29" t="n"/>
      <c r="D83" s="30">
        <f>IF(C83="","",IFERROR(INDEX(Settings!$C$21:$C$34,MATCH(C83,Settings!$B$21:$B$34,0)),"Check category"))</f>
        <v/>
      </c>
      <c r="E83" s="31" t="n"/>
      <c r="F83" s="29" t="n"/>
      <c r="G83" s="29" t="n"/>
      <c r="H83" s="30">
        <f>IF(A83="","",IFERROR(LOOKUP(A83,Settings!$C$14:$C$17,Settings!$B$14:$B$17),"Pre-MS1"))</f>
        <v/>
      </c>
      <c r="I83" s="32">
        <f>IF(OR(A83="",E83=""),0,IF(D83="Expense",-E83,E83))</f>
        <v/>
      </c>
      <c r="J83" s="33">
        <f>IF(A83="","",Settings!$C$5+SUM($I$5:I83))</f>
        <v/>
      </c>
    </row>
    <row r="84">
      <c r="A84" s="28" t="n"/>
      <c r="B84" s="29" t="n"/>
      <c r="C84" s="29" t="n"/>
      <c r="D84" s="30">
        <f>IF(C84="","",IFERROR(INDEX(Settings!$C$21:$C$34,MATCH(C84,Settings!$B$21:$B$34,0)),"Check category"))</f>
        <v/>
      </c>
      <c r="E84" s="31" t="n"/>
      <c r="F84" s="29" t="n"/>
      <c r="G84" s="29" t="n"/>
      <c r="H84" s="30">
        <f>IF(A84="","",IFERROR(LOOKUP(A84,Settings!$C$14:$C$17,Settings!$B$14:$B$17),"Pre-MS1"))</f>
        <v/>
      </c>
      <c r="I84" s="32">
        <f>IF(OR(A84="",E84=""),0,IF(D84="Expense",-E84,E84))</f>
        <v/>
      </c>
      <c r="J84" s="33">
        <f>IF(A84="","",Settings!$C$5+SUM($I$5:I84))</f>
        <v/>
      </c>
    </row>
    <row r="85">
      <c r="A85" s="28" t="n"/>
      <c r="B85" s="29" t="n"/>
      <c r="C85" s="29" t="n"/>
      <c r="D85" s="30">
        <f>IF(C85="","",IFERROR(INDEX(Settings!$C$21:$C$34,MATCH(C85,Settings!$B$21:$B$34,0)),"Check category"))</f>
        <v/>
      </c>
      <c r="E85" s="31" t="n"/>
      <c r="F85" s="29" t="n"/>
      <c r="G85" s="29" t="n"/>
      <c r="H85" s="30">
        <f>IF(A85="","",IFERROR(LOOKUP(A85,Settings!$C$14:$C$17,Settings!$B$14:$B$17),"Pre-MS1"))</f>
        <v/>
      </c>
      <c r="I85" s="32">
        <f>IF(OR(A85="",E85=""),0,IF(D85="Expense",-E85,E85))</f>
        <v/>
      </c>
      <c r="J85" s="33">
        <f>IF(A85="","",Settings!$C$5+SUM($I$5:I85))</f>
        <v/>
      </c>
    </row>
    <row r="86">
      <c r="A86" s="28" t="n"/>
      <c r="B86" s="29" t="n"/>
      <c r="C86" s="29" t="n"/>
      <c r="D86" s="30">
        <f>IF(C86="","",IFERROR(INDEX(Settings!$C$21:$C$34,MATCH(C86,Settings!$B$21:$B$34,0)),"Check category"))</f>
        <v/>
      </c>
      <c r="E86" s="31" t="n"/>
      <c r="F86" s="29" t="n"/>
      <c r="G86" s="29" t="n"/>
      <c r="H86" s="30">
        <f>IF(A86="","",IFERROR(LOOKUP(A86,Settings!$C$14:$C$17,Settings!$B$14:$B$17),"Pre-MS1"))</f>
        <v/>
      </c>
      <c r="I86" s="32">
        <f>IF(OR(A86="",E86=""),0,IF(D86="Expense",-E86,E86))</f>
        <v/>
      </c>
      <c r="J86" s="33">
        <f>IF(A86="","",Settings!$C$5+SUM($I$5:I86))</f>
        <v/>
      </c>
    </row>
    <row r="87">
      <c r="A87" s="28" t="n"/>
      <c r="B87" s="29" t="n"/>
      <c r="C87" s="29" t="n"/>
      <c r="D87" s="30">
        <f>IF(C87="","",IFERROR(INDEX(Settings!$C$21:$C$34,MATCH(C87,Settings!$B$21:$B$34,0)),"Check category"))</f>
        <v/>
      </c>
      <c r="E87" s="31" t="n"/>
      <c r="F87" s="29" t="n"/>
      <c r="G87" s="29" t="n"/>
      <c r="H87" s="30">
        <f>IF(A87="","",IFERROR(LOOKUP(A87,Settings!$C$14:$C$17,Settings!$B$14:$B$17),"Pre-MS1"))</f>
        <v/>
      </c>
      <c r="I87" s="32">
        <f>IF(OR(A87="",E87=""),0,IF(D87="Expense",-E87,E87))</f>
        <v/>
      </c>
      <c r="J87" s="33">
        <f>IF(A87="","",Settings!$C$5+SUM($I$5:I87))</f>
        <v/>
      </c>
    </row>
    <row r="88">
      <c r="A88" s="28" t="n"/>
      <c r="B88" s="29" t="n"/>
      <c r="C88" s="29" t="n"/>
      <c r="D88" s="30">
        <f>IF(C88="","",IFERROR(INDEX(Settings!$C$21:$C$34,MATCH(C88,Settings!$B$21:$B$34,0)),"Check category"))</f>
        <v/>
      </c>
      <c r="E88" s="31" t="n"/>
      <c r="F88" s="29" t="n"/>
      <c r="G88" s="29" t="n"/>
      <c r="H88" s="30">
        <f>IF(A88="","",IFERROR(LOOKUP(A88,Settings!$C$14:$C$17,Settings!$B$14:$B$17),"Pre-MS1"))</f>
        <v/>
      </c>
      <c r="I88" s="32">
        <f>IF(OR(A88="",E88=""),0,IF(D88="Expense",-E88,E88))</f>
        <v/>
      </c>
      <c r="J88" s="33">
        <f>IF(A88="","",Settings!$C$5+SUM($I$5:I88))</f>
        <v/>
      </c>
    </row>
    <row r="89">
      <c r="A89" s="28" t="n"/>
      <c r="B89" s="29" t="n"/>
      <c r="C89" s="29" t="n"/>
      <c r="D89" s="30">
        <f>IF(C89="","",IFERROR(INDEX(Settings!$C$21:$C$34,MATCH(C89,Settings!$B$21:$B$34,0)),"Check category"))</f>
        <v/>
      </c>
      <c r="E89" s="31" t="n"/>
      <c r="F89" s="29" t="n"/>
      <c r="G89" s="29" t="n"/>
      <c r="H89" s="30">
        <f>IF(A89="","",IFERROR(LOOKUP(A89,Settings!$C$14:$C$17,Settings!$B$14:$B$17),"Pre-MS1"))</f>
        <v/>
      </c>
      <c r="I89" s="32">
        <f>IF(OR(A89="",E89=""),0,IF(D89="Expense",-E89,E89))</f>
        <v/>
      </c>
      <c r="J89" s="33">
        <f>IF(A89="","",Settings!$C$5+SUM($I$5:I89))</f>
        <v/>
      </c>
    </row>
    <row r="90">
      <c r="A90" s="28" t="n"/>
      <c r="B90" s="29" t="n"/>
      <c r="C90" s="29" t="n"/>
      <c r="D90" s="30">
        <f>IF(C90="","",IFERROR(INDEX(Settings!$C$21:$C$34,MATCH(C90,Settings!$B$21:$B$34,0)),"Check category"))</f>
        <v/>
      </c>
      <c r="E90" s="31" t="n"/>
      <c r="F90" s="29" t="n"/>
      <c r="G90" s="29" t="n"/>
      <c r="H90" s="30">
        <f>IF(A90="","",IFERROR(LOOKUP(A90,Settings!$C$14:$C$17,Settings!$B$14:$B$17),"Pre-MS1"))</f>
        <v/>
      </c>
      <c r="I90" s="32">
        <f>IF(OR(A90="",E90=""),0,IF(D90="Expense",-E90,E90))</f>
        <v/>
      </c>
      <c r="J90" s="33">
        <f>IF(A90="","",Settings!$C$5+SUM($I$5:I90))</f>
        <v/>
      </c>
    </row>
    <row r="91">
      <c r="A91" s="28" t="n"/>
      <c r="B91" s="29" t="n"/>
      <c r="C91" s="29" t="n"/>
      <c r="D91" s="30">
        <f>IF(C91="","",IFERROR(INDEX(Settings!$C$21:$C$34,MATCH(C91,Settings!$B$21:$B$34,0)),"Check category"))</f>
        <v/>
      </c>
      <c r="E91" s="31" t="n"/>
      <c r="F91" s="29" t="n"/>
      <c r="G91" s="29" t="n"/>
      <c r="H91" s="30">
        <f>IF(A91="","",IFERROR(LOOKUP(A91,Settings!$C$14:$C$17,Settings!$B$14:$B$17),"Pre-MS1"))</f>
        <v/>
      </c>
      <c r="I91" s="32">
        <f>IF(OR(A91="",E91=""),0,IF(D91="Expense",-E91,E91))</f>
        <v/>
      </c>
      <c r="J91" s="33">
        <f>IF(A91="","",Settings!$C$5+SUM($I$5:I91))</f>
        <v/>
      </c>
    </row>
    <row r="92">
      <c r="A92" s="28" t="n"/>
      <c r="B92" s="29" t="n"/>
      <c r="C92" s="29" t="n"/>
      <c r="D92" s="30">
        <f>IF(C92="","",IFERROR(INDEX(Settings!$C$21:$C$34,MATCH(C92,Settings!$B$21:$B$34,0)),"Check category"))</f>
        <v/>
      </c>
      <c r="E92" s="31" t="n"/>
      <c r="F92" s="29" t="n"/>
      <c r="G92" s="29" t="n"/>
      <c r="H92" s="30">
        <f>IF(A92="","",IFERROR(LOOKUP(A92,Settings!$C$14:$C$17,Settings!$B$14:$B$17),"Pre-MS1"))</f>
        <v/>
      </c>
      <c r="I92" s="32">
        <f>IF(OR(A92="",E92=""),0,IF(D92="Expense",-E92,E92))</f>
        <v/>
      </c>
      <c r="J92" s="33">
        <f>IF(A92="","",Settings!$C$5+SUM($I$5:I92))</f>
        <v/>
      </c>
    </row>
    <row r="93">
      <c r="A93" s="28" t="n"/>
      <c r="B93" s="29" t="n"/>
      <c r="C93" s="29" t="n"/>
      <c r="D93" s="30">
        <f>IF(C93="","",IFERROR(INDEX(Settings!$C$21:$C$34,MATCH(C93,Settings!$B$21:$B$34,0)),"Check category"))</f>
        <v/>
      </c>
      <c r="E93" s="31" t="n"/>
      <c r="F93" s="29" t="n"/>
      <c r="G93" s="29" t="n"/>
      <c r="H93" s="30">
        <f>IF(A93="","",IFERROR(LOOKUP(A93,Settings!$C$14:$C$17,Settings!$B$14:$B$17),"Pre-MS1"))</f>
        <v/>
      </c>
      <c r="I93" s="32">
        <f>IF(OR(A93="",E93=""),0,IF(D93="Expense",-E93,E93))</f>
        <v/>
      </c>
      <c r="J93" s="33">
        <f>IF(A93="","",Settings!$C$5+SUM($I$5:I93))</f>
        <v/>
      </c>
    </row>
    <row r="94">
      <c r="A94" s="28" t="n"/>
      <c r="B94" s="29" t="n"/>
      <c r="C94" s="29" t="n"/>
      <c r="D94" s="30">
        <f>IF(C94="","",IFERROR(INDEX(Settings!$C$21:$C$34,MATCH(C94,Settings!$B$21:$B$34,0)),"Check category"))</f>
        <v/>
      </c>
      <c r="E94" s="31" t="n"/>
      <c r="F94" s="29" t="n"/>
      <c r="G94" s="29" t="n"/>
      <c r="H94" s="30">
        <f>IF(A94="","",IFERROR(LOOKUP(A94,Settings!$C$14:$C$17,Settings!$B$14:$B$17),"Pre-MS1"))</f>
        <v/>
      </c>
      <c r="I94" s="32">
        <f>IF(OR(A94="",E94=""),0,IF(D94="Expense",-E94,E94))</f>
        <v/>
      </c>
      <c r="J94" s="33">
        <f>IF(A94="","",Settings!$C$5+SUM($I$5:I94))</f>
        <v/>
      </c>
    </row>
    <row r="95">
      <c r="A95" s="28" t="n"/>
      <c r="B95" s="29" t="n"/>
      <c r="C95" s="29" t="n"/>
      <c r="D95" s="30">
        <f>IF(C95="","",IFERROR(INDEX(Settings!$C$21:$C$34,MATCH(C95,Settings!$B$21:$B$34,0)),"Check category"))</f>
        <v/>
      </c>
      <c r="E95" s="31" t="n"/>
      <c r="F95" s="29" t="n"/>
      <c r="G95" s="29" t="n"/>
      <c r="H95" s="30">
        <f>IF(A95="","",IFERROR(LOOKUP(A95,Settings!$C$14:$C$17,Settings!$B$14:$B$17),"Pre-MS1"))</f>
        <v/>
      </c>
      <c r="I95" s="32">
        <f>IF(OR(A95="",E95=""),0,IF(D95="Expense",-E95,E95))</f>
        <v/>
      </c>
      <c r="J95" s="33">
        <f>IF(A95="","",Settings!$C$5+SUM($I$5:I95))</f>
        <v/>
      </c>
    </row>
    <row r="96">
      <c r="A96" s="28" t="n"/>
      <c r="B96" s="29" t="n"/>
      <c r="C96" s="29" t="n"/>
      <c r="D96" s="30">
        <f>IF(C96="","",IFERROR(INDEX(Settings!$C$21:$C$34,MATCH(C96,Settings!$B$21:$B$34,0)),"Check category"))</f>
        <v/>
      </c>
      <c r="E96" s="31" t="n"/>
      <c r="F96" s="29" t="n"/>
      <c r="G96" s="29" t="n"/>
      <c r="H96" s="30">
        <f>IF(A96="","",IFERROR(LOOKUP(A96,Settings!$C$14:$C$17,Settings!$B$14:$B$17),"Pre-MS1"))</f>
        <v/>
      </c>
      <c r="I96" s="32">
        <f>IF(OR(A96="",E96=""),0,IF(D96="Expense",-E96,E96))</f>
        <v/>
      </c>
      <c r="J96" s="33">
        <f>IF(A96="","",Settings!$C$5+SUM($I$5:I96))</f>
        <v/>
      </c>
    </row>
    <row r="97">
      <c r="A97" s="28" t="n"/>
      <c r="B97" s="29" t="n"/>
      <c r="C97" s="29" t="n"/>
      <c r="D97" s="30">
        <f>IF(C97="","",IFERROR(INDEX(Settings!$C$21:$C$34,MATCH(C97,Settings!$B$21:$B$34,0)),"Check category"))</f>
        <v/>
      </c>
      <c r="E97" s="31" t="n"/>
      <c r="F97" s="29" t="n"/>
      <c r="G97" s="29" t="n"/>
      <c r="H97" s="30">
        <f>IF(A97="","",IFERROR(LOOKUP(A97,Settings!$C$14:$C$17,Settings!$B$14:$B$17),"Pre-MS1"))</f>
        <v/>
      </c>
      <c r="I97" s="32">
        <f>IF(OR(A97="",E97=""),0,IF(D97="Expense",-E97,E97))</f>
        <v/>
      </c>
      <c r="J97" s="33">
        <f>IF(A97="","",Settings!$C$5+SUM($I$5:I97))</f>
        <v/>
      </c>
    </row>
    <row r="98">
      <c r="A98" s="28" t="n"/>
      <c r="B98" s="29" t="n"/>
      <c r="C98" s="29" t="n"/>
      <c r="D98" s="30">
        <f>IF(C98="","",IFERROR(INDEX(Settings!$C$21:$C$34,MATCH(C98,Settings!$B$21:$B$34,0)),"Check category"))</f>
        <v/>
      </c>
      <c r="E98" s="31" t="n"/>
      <c r="F98" s="29" t="n"/>
      <c r="G98" s="29" t="n"/>
      <c r="H98" s="30">
        <f>IF(A98="","",IFERROR(LOOKUP(A98,Settings!$C$14:$C$17,Settings!$B$14:$B$17),"Pre-MS1"))</f>
        <v/>
      </c>
      <c r="I98" s="32">
        <f>IF(OR(A98="",E98=""),0,IF(D98="Expense",-E98,E98))</f>
        <v/>
      </c>
      <c r="J98" s="33">
        <f>IF(A98="","",Settings!$C$5+SUM($I$5:I98))</f>
        <v/>
      </c>
    </row>
    <row r="99">
      <c r="A99" s="28" t="n"/>
      <c r="B99" s="29" t="n"/>
      <c r="C99" s="29" t="n"/>
      <c r="D99" s="30">
        <f>IF(C99="","",IFERROR(INDEX(Settings!$C$21:$C$34,MATCH(C99,Settings!$B$21:$B$34,0)),"Check category"))</f>
        <v/>
      </c>
      <c r="E99" s="31" t="n"/>
      <c r="F99" s="29" t="n"/>
      <c r="G99" s="29" t="n"/>
      <c r="H99" s="30">
        <f>IF(A99="","",IFERROR(LOOKUP(A99,Settings!$C$14:$C$17,Settings!$B$14:$B$17),"Pre-MS1"))</f>
        <v/>
      </c>
      <c r="I99" s="32">
        <f>IF(OR(A99="",E99=""),0,IF(D99="Expense",-E99,E99))</f>
        <v/>
      </c>
      <c r="J99" s="33">
        <f>IF(A99="","",Settings!$C$5+SUM($I$5:I99))</f>
        <v/>
      </c>
    </row>
    <row r="100">
      <c r="A100" s="28" t="n"/>
      <c r="B100" s="29" t="n"/>
      <c r="C100" s="29" t="n"/>
      <c r="D100" s="30">
        <f>IF(C100="","",IFERROR(INDEX(Settings!$C$21:$C$34,MATCH(C100,Settings!$B$21:$B$34,0)),"Check category"))</f>
        <v/>
      </c>
      <c r="E100" s="31" t="n"/>
      <c r="F100" s="29" t="n"/>
      <c r="G100" s="29" t="n"/>
      <c r="H100" s="30">
        <f>IF(A100="","",IFERROR(LOOKUP(A100,Settings!$C$14:$C$17,Settings!$B$14:$B$17),"Pre-MS1"))</f>
        <v/>
      </c>
      <c r="I100" s="32">
        <f>IF(OR(A100="",E100=""),0,IF(D100="Expense",-E100,E100))</f>
        <v/>
      </c>
      <c r="J100" s="33">
        <f>IF(A100="","",Settings!$C$5+SUM($I$5:I100))</f>
        <v/>
      </c>
    </row>
    <row r="101">
      <c r="A101" s="28" t="n"/>
      <c r="B101" s="29" t="n"/>
      <c r="C101" s="29" t="n"/>
      <c r="D101" s="30">
        <f>IF(C101="","",IFERROR(INDEX(Settings!$C$21:$C$34,MATCH(C101,Settings!$B$21:$B$34,0)),"Check category"))</f>
        <v/>
      </c>
      <c r="E101" s="31" t="n"/>
      <c r="F101" s="29" t="n"/>
      <c r="G101" s="29" t="n"/>
      <c r="H101" s="30">
        <f>IF(A101="","",IFERROR(LOOKUP(A101,Settings!$C$14:$C$17,Settings!$B$14:$B$17),"Pre-MS1"))</f>
        <v/>
      </c>
      <c r="I101" s="32">
        <f>IF(OR(A101="",E101=""),0,IF(D101="Expense",-E101,E101))</f>
        <v/>
      </c>
      <c r="J101" s="33">
        <f>IF(A101="","",Settings!$C$5+SUM($I$5:I101))</f>
        <v/>
      </c>
    </row>
    <row r="102">
      <c r="A102" s="28" t="n"/>
      <c r="B102" s="29" t="n"/>
      <c r="C102" s="29" t="n"/>
      <c r="D102" s="30">
        <f>IF(C102="","",IFERROR(INDEX(Settings!$C$21:$C$34,MATCH(C102,Settings!$B$21:$B$34,0)),"Check category"))</f>
        <v/>
      </c>
      <c r="E102" s="31" t="n"/>
      <c r="F102" s="29" t="n"/>
      <c r="G102" s="29" t="n"/>
      <c r="H102" s="30">
        <f>IF(A102="","",IFERROR(LOOKUP(A102,Settings!$C$14:$C$17,Settings!$B$14:$B$17),"Pre-MS1"))</f>
        <v/>
      </c>
      <c r="I102" s="32">
        <f>IF(OR(A102="",E102=""),0,IF(D102="Expense",-E102,E102))</f>
        <v/>
      </c>
      <c r="J102" s="33">
        <f>IF(A102="","",Settings!$C$5+SUM($I$5:I102))</f>
        <v/>
      </c>
    </row>
    <row r="103">
      <c r="A103" s="28" t="n"/>
      <c r="B103" s="29" t="n"/>
      <c r="C103" s="29" t="n"/>
      <c r="D103" s="30">
        <f>IF(C103="","",IFERROR(INDEX(Settings!$C$21:$C$34,MATCH(C103,Settings!$B$21:$B$34,0)),"Check category"))</f>
        <v/>
      </c>
      <c r="E103" s="31" t="n"/>
      <c r="F103" s="29" t="n"/>
      <c r="G103" s="29" t="n"/>
      <c r="H103" s="30">
        <f>IF(A103="","",IFERROR(LOOKUP(A103,Settings!$C$14:$C$17,Settings!$B$14:$B$17),"Pre-MS1"))</f>
        <v/>
      </c>
      <c r="I103" s="32">
        <f>IF(OR(A103="",E103=""),0,IF(D103="Expense",-E103,E103))</f>
        <v/>
      </c>
      <c r="J103" s="33">
        <f>IF(A103="","",Settings!$C$5+SUM($I$5:I103))</f>
        <v/>
      </c>
    </row>
    <row r="104">
      <c r="A104" s="28" t="n"/>
      <c r="B104" s="29" t="n"/>
      <c r="C104" s="29" t="n"/>
      <c r="D104" s="30">
        <f>IF(C104="","",IFERROR(INDEX(Settings!$C$21:$C$34,MATCH(C104,Settings!$B$21:$B$34,0)),"Check category"))</f>
        <v/>
      </c>
      <c r="E104" s="31" t="n"/>
      <c r="F104" s="29" t="n"/>
      <c r="G104" s="29" t="n"/>
      <c r="H104" s="30">
        <f>IF(A104="","",IFERROR(LOOKUP(A104,Settings!$C$14:$C$17,Settings!$B$14:$B$17),"Pre-MS1"))</f>
        <v/>
      </c>
      <c r="I104" s="32">
        <f>IF(OR(A104="",E104=""),0,IF(D104="Expense",-E104,E104))</f>
        <v/>
      </c>
      <c r="J104" s="33">
        <f>IF(A104="","",Settings!$C$5+SUM($I$5:I104))</f>
        <v/>
      </c>
    </row>
    <row r="105">
      <c r="A105" s="28" t="n"/>
      <c r="B105" s="29" t="n"/>
      <c r="C105" s="29" t="n"/>
      <c r="D105" s="30">
        <f>IF(C105="","",IFERROR(INDEX(Settings!$C$21:$C$34,MATCH(C105,Settings!$B$21:$B$34,0)),"Check category"))</f>
        <v/>
      </c>
      <c r="E105" s="31" t="n"/>
      <c r="F105" s="29" t="n"/>
      <c r="G105" s="29" t="n"/>
      <c r="H105" s="30">
        <f>IF(A105="","",IFERROR(LOOKUP(A105,Settings!$C$14:$C$17,Settings!$B$14:$B$17),"Pre-MS1"))</f>
        <v/>
      </c>
      <c r="I105" s="32">
        <f>IF(OR(A105="",E105=""),0,IF(D105="Expense",-E105,E105))</f>
        <v/>
      </c>
      <c r="J105" s="33">
        <f>IF(A105="","",Settings!$C$5+SUM($I$5:I105))</f>
        <v/>
      </c>
    </row>
    <row r="106">
      <c r="A106" s="28" t="n"/>
      <c r="B106" s="29" t="n"/>
      <c r="C106" s="29" t="n"/>
      <c r="D106" s="30">
        <f>IF(C106="","",IFERROR(INDEX(Settings!$C$21:$C$34,MATCH(C106,Settings!$B$21:$B$34,0)),"Check category"))</f>
        <v/>
      </c>
      <c r="E106" s="31" t="n"/>
      <c r="F106" s="29" t="n"/>
      <c r="G106" s="29" t="n"/>
      <c r="H106" s="30">
        <f>IF(A106="","",IFERROR(LOOKUP(A106,Settings!$C$14:$C$17,Settings!$B$14:$B$17),"Pre-MS1"))</f>
        <v/>
      </c>
      <c r="I106" s="32">
        <f>IF(OR(A106="",E106=""),0,IF(D106="Expense",-E106,E106))</f>
        <v/>
      </c>
      <c r="J106" s="33">
        <f>IF(A106="","",Settings!$C$5+SUM($I$5:I106))</f>
        <v/>
      </c>
    </row>
    <row r="107">
      <c r="A107" s="28" t="n"/>
      <c r="B107" s="29" t="n"/>
      <c r="C107" s="29" t="n"/>
      <c r="D107" s="30">
        <f>IF(C107="","",IFERROR(INDEX(Settings!$C$21:$C$34,MATCH(C107,Settings!$B$21:$B$34,0)),"Check category"))</f>
        <v/>
      </c>
      <c r="E107" s="31" t="n"/>
      <c r="F107" s="29" t="n"/>
      <c r="G107" s="29" t="n"/>
      <c r="H107" s="30">
        <f>IF(A107="","",IFERROR(LOOKUP(A107,Settings!$C$14:$C$17,Settings!$B$14:$B$17),"Pre-MS1"))</f>
        <v/>
      </c>
      <c r="I107" s="32">
        <f>IF(OR(A107="",E107=""),0,IF(D107="Expense",-E107,E107))</f>
        <v/>
      </c>
      <c r="J107" s="33">
        <f>IF(A107="","",Settings!$C$5+SUM($I$5:I107))</f>
        <v/>
      </c>
    </row>
    <row r="108">
      <c r="A108" s="28" t="n"/>
      <c r="B108" s="29" t="n"/>
      <c r="C108" s="29" t="n"/>
      <c r="D108" s="30">
        <f>IF(C108="","",IFERROR(INDEX(Settings!$C$21:$C$34,MATCH(C108,Settings!$B$21:$B$34,0)),"Check category"))</f>
        <v/>
      </c>
      <c r="E108" s="31" t="n"/>
      <c r="F108" s="29" t="n"/>
      <c r="G108" s="29" t="n"/>
      <c r="H108" s="30">
        <f>IF(A108="","",IFERROR(LOOKUP(A108,Settings!$C$14:$C$17,Settings!$B$14:$B$17),"Pre-MS1"))</f>
        <v/>
      </c>
      <c r="I108" s="32">
        <f>IF(OR(A108="",E108=""),0,IF(D108="Expense",-E108,E108))</f>
        <v/>
      </c>
      <c r="J108" s="33">
        <f>IF(A108="","",Settings!$C$5+SUM($I$5:I108))</f>
        <v/>
      </c>
    </row>
    <row r="109">
      <c r="A109" s="28" t="n"/>
      <c r="B109" s="29" t="n"/>
      <c r="C109" s="29" t="n"/>
      <c r="D109" s="30">
        <f>IF(C109="","",IFERROR(INDEX(Settings!$C$21:$C$34,MATCH(C109,Settings!$B$21:$B$34,0)),"Check category"))</f>
        <v/>
      </c>
      <c r="E109" s="31" t="n"/>
      <c r="F109" s="29" t="n"/>
      <c r="G109" s="29" t="n"/>
      <c r="H109" s="30">
        <f>IF(A109="","",IFERROR(LOOKUP(A109,Settings!$C$14:$C$17,Settings!$B$14:$B$17),"Pre-MS1"))</f>
        <v/>
      </c>
      <c r="I109" s="32">
        <f>IF(OR(A109="",E109=""),0,IF(D109="Expense",-E109,E109))</f>
        <v/>
      </c>
      <c r="J109" s="33">
        <f>IF(A109="","",Settings!$C$5+SUM($I$5:I109))</f>
        <v/>
      </c>
    </row>
    <row r="110">
      <c r="A110" s="28" t="n"/>
      <c r="B110" s="29" t="n"/>
      <c r="C110" s="29" t="n"/>
      <c r="D110" s="30">
        <f>IF(C110="","",IFERROR(INDEX(Settings!$C$21:$C$34,MATCH(C110,Settings!$B$21:$B$34,0)),"Check category"))</f>
        <v/>
      </c>
      <c r="E110" s="31" t="n"/>
      <c r="F110" s="29" t="n"/>
      <c r="G110" s="29" t="n"/>
      <c r="H110" s="30">
        <f>IF(A110="","",IFERROR(LOOKUP(A110,Settings!$C$14:$C$17,Settings!$B$14:$B$17),"Pre-MS1"))</f>
        <v/>
      </c>
      <c r="I110" s="32">
        <f>IF(OR(A110="",E110=""),0,IF(D110="Expense",-E110,E110))</f>
        <v/>
      </c>
      <c r="J110" s="33">
        <f>IF(A110="","",Settings!$C$5+SUM($I$5:I110))</f>
        <v/>
      </c>
    </row>
    <row r="111">
      <c r="A111" s="28" t="n"/>
      <c r="B111" s="29" t="n"/>
      <c r="C111" s="29" t="n"/>
      <c r="D111" s="30">
        <f>IF(C111="","",IFERROR(INDEX(Settings!$C$21:$C$34,MATCH(C111,Settings!$B$21:$B$34,0)),"Check category"))</f>
        <v/>
      </c>
      <c r="E111" s="31" t="n"/>
      <c r="F111" s="29" t="n"/>
      <c r="G111" s="29" t="n"/>
      <c r="H111" s="30">
        <f>IF(A111="","",IFERROR(LOOKUP(A111,Settings!$C$14:$C$17,Settings!$B$14:$B$17),"Pre-MS1"))</f>
        <v/>
      </c>
      <c r="I111" s="32">
        <f>IF(OR(A111="",E111=""),0,IF(D111="Expense",-E111,E111))</f>
        <v/>
      </c>
      <c r="J111" s="33">
        <f>IF(A111="","",Settings!$C$5+SUM($I$5:I111))</f>
        <v/>
      </c>
    </row>
    <row r="112">
      <c r="A112" s="28" t="n"/>
      <c r="B112" s="29" t="n"/>
      <c r="C112" s="29" t="n"/>
      <c r="D112" s="30">
        <f>IF(C112="","",IFERROR(INDEX(Settings!$C$21:$C$34,MATCH(C112,Settings!$B$21:$B$34,0)),"Check category"))</f>
        <v/>
      </c>
      <c r="E112" s="31" t="n"/>
      <c r="F112" s="29" t="n"/>
      <c r="G112" s="29" t="n"/>
      <c r="H112" s="30">
        <f>IF(A112="","",IFERROR(LOOKUP(A112,Settings!$C$14:$C$17,Settings!$B$14:$B$17),"Pre-MS1"))</f>
        <v/>
      </c>
      <c r="I112" s="32">
        <f>IF(OR(A112="",E112=""),0,IF(D112="Expense",-E112,E112))</f>
        <v/>
      </c>
      <c r="J112" s="33">
        <f>IF(A112="","",Settings!$C$5+SUM($I$5:I112))</f>
        <v/>
      </c>
    </row>
    <row r="113">
      <c r="A113" s="28" t="n"/>
      <c r="B113" s="29" t="n"/>
      <c r="C113" s="29" t="n"/>
      <c r="D113" s="30">
        <f>IF(C113="","",IFERROR(INDEX(Settings!$C$21:$C$34,MATCH(C113,Settings!$B$21:$B$34,0)),"Check category"))</f>
        <v/>
      </c>
      <c r="E113" s="31" t="n"/>
      <c r="F113" s="29" t="n"/>
      <c r="G113" s="29" t="n"/>
      <c r="H113" s="30">
        <f>IF(A113="","",IFERROR(LOOKUP(A113,Settings!$C$14:$C$17,Settings!$B$14:$B$17),"Pre-MS1"))</f>
        <v/>
      </c>
      <c r="I113" s="32">
        <f>IF(OR(A113="",E113=""),0,IF(D113="Expense",-E113,E113))</f>
        <v/>
      </c>
      <c r="J113" s="33">
        <f>IF(A113="","",Settings!$C$5+SUM($I$5:I113))</f>
        <v/>
      </c>
    </row>
    <row r="114">
      <c r="A114" s="28" t="n"/>
      <c r="B114" s="29" t="n"/>
      <c r="C114" s="29" t="n"/>
      <c r="D114" s="30">
        <f>IF(C114="","",IFERROR(INDEX(Settings!$C$21:$C$34,MATCH(C114,Settings!$B$21:$B$34,0)),"Check category"))</f>
        <v/>
      </c>
      <c r="E114" s="31" t="n"/>
      <c r="F114" s="29" t="n"/>
      <c r="G114" s="29" t="n"/>
      <c r="H114" s="30">
        <f>IF(A114="","",IFERROR(LOOKUP(A114,Settings!$C$14:$C$17,Settings!$B$14:$B$17),"Pre-MS1"))</f>
        <v/>
      </c>
      <c r="I114" s="32">
        <f>IF(OR(A114="",E114=""),0,IF(D114="Expense",-E114,E114))</f>
        <v/>
      </c>
      <c r="J114" s="33">
        <f>IF(A114="","",Settings!$C$5+SUM($I$5:I114))</f>
        <v/>
      </c>
    </row>
    <row r="115">
      <c r="A115" s="28" t="n"/>
      <c r="B115" s="29" t="n"/>
      <c r="C115" s="29" t="n"/>
      <c r="D115" s="30">
        <f>IF(C115="","",IFERROR(INDEX(Settings!$C$21:$C$34,MATCH(C115,Settings!$B$21:$B$34,0)),"Check category"))</f>
        <v/>
      </c>
      <c r="E115" s="31" t="n"/>
      <c r="F115" s="29" t="n"/>
      <c r="G115" s="29" t="n"/>
      <c r="H115" s="30">
        <f>IF(A115="","",IFERROR(LOOKUP(A115,Settings!$C$14:$C$17,Settings!$B$14:$B$17),"Pre-MS1"))</f>
        <v/>
      </c>
      <c r="I115" s="32">
        <f>IF(OR(A115="",E115=""),0,IF(D115="Expense",-E115,E115))</f>
        <v/>
      </c>
      <c r="J115" s="33">
        <f>IF(A115="","",Settings!$C$5+SUM($I$5:I115))</f>
        <v/>
      </c>
    </row>
    <row r="116">
      <c r="A116" s="28" t="n"/>
      <c r="B116" s="29" t="n"/>
      <c r="C116" s="29" t="n"/>
      <c r="D116" s="30">
        <f>IF(C116="","",IFERROR(INDEX(Settings!$C$21:$C$34,MATCH(C116,Settings!$B$21:$B$34,0)),"Check category"))</f>
        <v/>
      </c>
      <c r="E116" s="31" t="n"/>
      <c r="F116" s="29" t="n"/>
      <c r="G116" s="29" t="n"/>
      <c r="H116" s="30">
        <f>IF(A116="","",IFERROR(LOOKUP(A116,Settings!$C$14:$C$17,Settings!$B$14:$B$17),"Pre-MS1"))</f>
        <v/>
      </c>
      <c r="I116" s="32">
        <f>IF(OR(A116="",E116=""),0,IF(D116="Expense",-E116,E116))</f>
        <v/>
      </c>
      <c r="J116" s="33">
        <f>IF(A116="","",Settings!$C$5+SUM($I$5:I116))</f>
        <v/>
      </c>
    </row>
    <row r="117">
      <c r="A117" s="28" t="n"/>
      <c r="B117" s="29" t="n"/>
      <c r="C117" s="29" t="n"/>
      <c r="D117" s="30">
        <f>IF(C117="","",IFERROR(INDEX(Settings!$C$21:$C$34,MATCH(C117,Settings!$B$21:$B$34,0)),"Check category"))</f>
        <v/>
      </c>
      <c r="E117" s="31" t="n"/>
      <c r="F117" s="29" t="n"/>
      <c r="G117" s="29" t="n"/>
      <c r="H117" s="30">
        <f>IF(A117="","",IFERROR(LOOKUP(A117,Settings!$C$14:$C$17,Settings!$B$14:$B$17),"Pre-MS1"))</f>
        <v/>
      </c>
      <c r="I117" s="32">
        <f>IF(OR(A117="",E117=""),0,IF(D117="Expense",-E117,E117))</f>
        <v/>
      </c>
      <c r="J117" s="33">
        <f>IF(A117="","",Settings!$C$5+SUM($I$5:I117))</f>
        <v/>
      </c>
    </row>
    <row r="118">
      <c r="A118" s="28" t="n"/>
      <c r="B118" s="29" t="n"/>
      <c r="C118" s="29" t="n"/>
      <c r="D118" s="30">
        <f>IF(C118="","",IFERROR(INDEX(Settings!$C$21:$C$34,MATCH(C118,Settings!$B$21:$B$34,0)),"Check category"))</f>
        <v/>
      </c>
      <c r="E118" s="31" t="n"/>
      <c r="F118" s="29" t="n"/>
      <c r="G118" s="29" t="n"/>
      <c r="H118" s="30">
        <f>IF(A118="","",IFERROR(LOOKUP(A118,Settings!$C$14:$C$17,Settings!$B$14:$B$17),"Pre-MS1"))</f>
        <v/>
      </c>
      <c r="I118" s="32">
        <f>IF(OR(A118="",E118=""),0,IF(D118="Expense",-E118,E118))</f>
        <v/>
      </c>
      <c r="J118" s="33">
        <f>IF(A118="","",Settings!$C$5+SUM($I$5:I118))</f>
        <v/>
      </c>
    </row>
    <row r="119">
      <c r="A119" s="28" t="n"/>
      <c r="B119" s="29" t="n"/>
      <c r="C119" s="29" t="n"/>
      <c r="D119" s="30">
        <f>IF(C119="","",IFERROR(INDEX(Settings!$C$21:$C$34,MATCH(C119,Settings!$B$21:$B$34,0)),"Check category"))</f>
        <v/>
      </c>
      <c r="E119" s="31" t="n"/>
      <c r="F119" s="29" t="n"/>
      <c r="G119" s="29" t="n"/>
      <c r="H119" s="30">
        <f>IF(A119="","",IFERROR(LOOKUP(A119,Settings!$C$14:$C$17,Settings!$B$14:$B$17),"Pre-MS1"))</f>
        <v/>
      </c>
      <c r="I119" s="32">
        <f>IF(OR(A119="",E119=""),0,IF(D119="Expense",-E119,E119))</f>
        <v/>
      </c>
      <c r="J119" s="33">
        <f>IF(A119="","",Settings!$C$5+SUM($I$5:I119))</f>
        <v/>
      </c>
    </row>
    <row r="120">
      <c r="A120" s="28" t="n"/>
      <c r="B120" s="29" t="n"/>
      <c r="C120" s="29" t="n"/>
      <c r="D120" s="30">
        <f>IF(C120="","",IFERROR(INDEX(Settings!$C$21:$C$34,MATCH(C120,Settings!$B$21:$B$34,0)),"Check category"))</f>
        <v/>
      </c>
      <c r="E120" s="31" t="n"/>
      <c r="F120" s="29" t="n"/>
      <c r="G120" s="29" t="n"/>
      <c r="H120" s="30">
        <f>IF(A120="","",IFERROR(LOOKUP(A120,Settings!$C$14:$C$17,Settings!$B$14:$B$17),"Pre-MS1"))</f>
        <v/>
      </c>
      <c r="I120" s="32">
        <f>IF(OR(A120="",E120=""),0,IF(D120="Expense",-E120,E120))</f>
        <v/>
      </c>
      <c r="J120" s="33">
        <f>IF(A120="","",Settings!$C$5+SUM($I$5:I120))</f>
        <v/>
      </c>
    </row>
    <row r="121">
      <c r="A121" s="28" t="n"/>
      <c r="B121" s="29" t="n"/>
      <c r="C121" s="29" t="n"/>
      <c r="D121" s="30">
        <f>IF(C121="","",IFERROR(INDEX(Settings!$C$21:$C$34,MATCH(C121,Settings!$B$21:$B$34,0)),"Check category"))</f>
        <v/>
      </c>
      <c r="E121" s="31" t="n"/>
      <c r="F121" s="29" t="n"/>
      <c r="G121" s="29" t="n"/>
      <c r="H121" s="30">
        <f>IF(A121="","",IFERROR(LOOKUP(A121,Settings!$C$14:$C$17,Settings!$B$14:$B$17),"Pre-MS1"))</f>
        <v/>
      </c>
      <c r="I121" s="32">
        <f>IF(OR(A121="",E121=""),0,IF(D121="Expense",-E121,E121))</f>
        <v/>
      </c>
      <c r="J121" s="33">
        <f>IF(A121="","",Settings!$C$5+SUM($I$5:I121))</f>
        <v/>
      </c>
    </row>
    <row r="122">
      <c r="A122" s="28" t="n"/>
      <c r="B122" s="29" t="n"/>
      <c r="C122" s="29" t="n"/>
      <c r="D122" s="30">
        <f>IF(C122="","",IFERROR(INDEX(Settings!$C$21:$C$34,MATCH(C122,Settings!$B$21:$B$34,0)),"Check category"))</f>
        <v/>
      </c>
      <c r="E122" s="31" t="n"/>
      <c r="F122" s="29" t="n"/>
      <c r="G122" s="29" t="n"/>
      <c r="H122" s="30">
        <f>IF(A122="","",IFERROR(LOOKUP(A122,Settings!$C$14:$C$17,Settings!$B$14:$B$17),"Pre-MS1"))</f>
        <v/>
      </c>
      <c r="I122" s="32">
        <f>IF(OR(A122="",E122=""),0,IF(D122="Expense",-E122,E122))</f>
        <v/>
      </c>
      <c r="J122" s="33">
        <f>IF(A122="","",Settings!$C$5+SUM($I$5:I122))</f>
        <v/>
      </c>
    </row>
    <row r="123">
      <c r="A123" s="28" t="n"/>
      <c r="B123" s="29" t="n"/>
      <c r="C123" s="29" t="n"/>
      <c r="D123" s="30">
        <f>IF(C123="","",IFERROR(INDEX(Settings!$C$21:$C$34,MATCH(C123,Settings!$B$21:$B$34,0)),"Check category"))</f>
        <v/>
      </c>
      <c r="E123" s="31" t="n"/>
      <c r="F123" s="29" t="n"/>
      <c r="G123" s="29" t="n"/>
      <c r="H123" s="30">
        <f>IF(A123="","",IFERROR(LOOKUP(A123,Settings!$C$14:$C$17,Settings!$B$14:$B$17),"Pre-MS1"))</f>
        <v/>
      </c>
      <c r="I123" s="32">
        <f>IF(OR(A123="",E123=""),0,IF(D123="Expense",-E123,E123))</f>
        <v/>
      </c>
      <c r="J123" s="33">
        <f>IF(A123="","",Settings!$C$5+SUM($I$5:I123))</f>
        <v/>
      </c>
    </row>
    <row r="124">
      <c r="A124" s="28" t="n"/>
      <c r="B124" s="29" t="n"/>
      <c r="C124" s="29" t="n"/>
      <c r="D124" s="30">
        <f>IF(C124="","",IFERROR(INDEX(Settings!$C$21:$C$34,MATCH(C124,Settings!$B$21:$B$34,0)),"Check category"))</f>
        <v/>
      </c>
      <c r="E124" s="31" t="n"/>
      <c r="F124" s="29" t="n"/>
      <c r="G124" s="29" t="n"/>
      <c r="H124" s="30">
        <f>IF(A124="","",IFERROR(LOOKUP(A124,Settings!$C$14:$C$17,Settings!$B$14:$B$17),"Pre-MS1"))</f>
        <v/>
      </c>
      <c r="I124" s="32">
        <f>IF(OR(A124="",E124=""),0,IF(D124="Expense",-E124,E124))</f>
        <v/>
      </c>
      <c r="J124" s="33">
        <f>IF(A124="","",Settings!$C$5+SUM($I$5:I124))</f>
        <v/>
      </c>
    </row>
    <row r="125">
      <c r="A125" s="28" t="n"/>
      <c r="B125" s="29" t="n"/>
      <c r="C125" s="29" t="n"/>
      <c r="D125" s="30">
        <f>IF(C125="","",IFERROR(INDEX(Settings!$C$21:$C$34,MATCH(C125,Settings!$B$21:$B$34,0)),"Check category"))</f>
        <v/>
      </c>
      <c r="E125" s="31" t="n"/>
      <c r="F125" s="29" t="n"/>
      <c r="G125" s="29" t="n"/>
      <c r="H125" s="30">
        <f>IF(A125="","",IFERROR(LOOKUP(A125,Settings!$C$14:$C$17,Settings!$B$14:$B$17),"Pre-MS1"))</f>
        <v/>
      </c>
      <c r="I125" s="32">
        <f>IF(OR(A125="",E125=""),0,IF(D125="Expense",-E125,E125))</f>
        <v/>
      </c>
      <c r="J125" s="33">
        <f>IF(A125="","",Settings!$C$5+SUM($I$5:I125))</f>
        <v/>
      </c>
    </row>
    <row r="126">
      <c r="A126" s="28" t="n"/>
      <c r="B126" s="29" t="n"/>
      <c r="C126" s="29" t="n"/>
      <c r="D126" s="30">
        <f>IF(C126="","",IFERROR(INDEX(Settings!$C$21:$C$34,MATCH(C126,Settings!$B$21:$B$34,0)),"Check category"))</f>
        <v/>
      </c>
      <c r="E126" s="31" t="n"/>
      <c r="F126" s="29" t="n"/>
      <c r="G126" s="29" t="n"/>
      <c r="H126" s="30">
        <f>IF(A126="","",IFERROR(LOOKUP(A126,Settings!$C$14:$C$17,Settings!$B$14:$B$17),"Pre-MS1"))</f>
        <v/>
      </c>
      <c r="I126" s="32">
        <f>IF(OR(A126="",E126=""),0,IF(D126="Expense",-E126,E126))</f>
        <v/>
      </c>
      <c r="J126" s="33">
        <f>IF(A126="","",Settings!$C$5+SUM($I$5:I126))</f>
        <v/>
      </c>
    </row>
    <row r="127">
      <c r="A127" s="28" t="n"/>
      <c r="B127" s="29" t="n"/>
      <c r="C127" s="29" t="n"/>
      <c r="D127" s="30">
        <f>IF(C127="","",IFERROR(INDEX(Settings!$C$21:$C$34,MATCH(C127,Settings!$B$21:$B$34,0)),"Check category"))</f>
        <v/>
      </c>
      <c r="E127" s="31" t="n"/>
      <c r="F127" s="29" t="n"/>
      <c r="G127" s="29" t="n"/>
      <c r="H127" s="30">
        <f>IF(A127="","",IFERROR(LOOKUP(A127,Settings!$C$14:$C$17,Settings!$B$14:$B$17),"Pre-MS1"))</f>
        <v/>
      </c>
      <c r="I127" s="32">
        <f>IF(OR(A127="",E127=""),0,IF(D127="Expense",-E127,E127))</f>
        <v/>
      </c>
      <c r="J127" s="33">
        <f>IF(A127="","",Settings!$C$5+SUM($I$5:I127))</f>
        <v/>
      </c>
    </row>
    <row r="128">
      <c r="A128" s="28" t="n"/>
      <c r="B128" s="29" t="n"/>
      <c r="C128" s="29" t="n"/>
      <c r="D128" s="30">
        <f>IF(C128="","",IFERROR(INDEX(Settings!$C$21:$C$34,MATCH(C128,Settings!$B$21:$B$34,0)),"Check category"))</f>
        <v/>
      </c>
      <c r="E128" s="31" t="n"/>
      <c r="F128" s="29" t="n"/>
      <c r="G128" s="29" t="n"/>
      <c r="H128" s="30">
        <f>IF(A128="","",IFERROR(LOOKUP(A128,Settings!$C$14:$C$17,Settings!$B$14:$B$17),"Pre-MS1"))</f>
        <v/>
      </c>
      <c r="I128" s="32">
        <f>IF(OR(A128="",E128=""),0,IF(D128="Expense",-E128,E128))</f>
        <v/>
      </c>
      <c r="J128" s="33">
        <f>IF(A128="","",Settings!$C$5+SUM($I$5:I128))</f>
        <v/>
      </c>
    </row>
    <row r="129">
      <c r="A129" s="28" t="n"/>
      <c r="B129" s="29" t="n"/>
      <c r="C129" s="29" t="n"/>
      <c r="D129" s="30">
        <f>IF(C129="","",IFERROR(INDEX(Settings!$C$21:$C$34,MATCH(C129,Settings!$B$21:$B$34,0)),"Check category"))</f>
        <v/>
      </c>
      <c r="E129" s="31" t="n"/>
      <c r="F129" s="29" t="n"/>
      <c r="G129" s="29" t="n"/>
      <c r="H129" s="30">
        <f>IF(A129="","",IFERROR(LOOKUP(A129,Settings!$C$14:$C$17,Settings!$B$14:$B$17),"Pre-MS1"))</f>
        <v/>
      </c>
      <c r="I129" s="32">
        <f>IF(OR(A129="",E129=""),0,IF(D129="Expense",-E129,E129))</f>
        <v/>
      </c>
      <c r="J129" s="33">
        <f>IF(A129="","",Settings!$C$5+SUM($I$5:I129))</f>
        <v/>
      </c>
    </row>
    <row r="130">
      <c r="A130" s="28" t="n"/>
      <c r="B130" s="29" t="n"/>
      <c r="C130" s="29" t="n"/>
      <c r="D130" s="30">
        <f>IF(C130="","",IFERROR(INDEX(Settings!$C$21:$C$34,MATCH(C130,Settings!$B$21:$B$34,0)),"Check category"))</f>
        <v/>
      </c>
      <c r="E130" s="31" t="n"/>
      <c r="F130" s="29" t="n"/>
      <c r="G130" s="29" t="n"/>
      <c r="H130" s="30">
        <f>IF(A130="","",IFERROR(LOOKUP(A130,Settings!$C$14:$C$17,Settings!$B$14:$B$17),"Pre-MS1"))</f>
        <v/>
      </c>
      <c r="I130" s="32">
        <f>IF(OR(A130="",E130=""),0,IF(D130="Expense",-E130,E130))</f>
        <v/>
      </c>
      <c r="J130" s="33">
        <f>IF(A130="","",Settings!$C$5+SUM($I$5:I130))</f>
        <v/>
      </c>
    </row>
    <row r="131">
      <c r="A131" s="28" t="n"/>
      <c r="B131" s="29" t="n"/>
      <c r="C131" s="29" t="n"/>
      <c r="D131" s="30">
        <f>IF(C131="","",IFERROR(INDEX(Settings!$C$21:$C$34,MATCH(C131,Settings!$B$21:$B$34,0)),"Check category"))</f>
        <v/>
      </c>
      <c r="E131" s="31" t="n"/>
      <c r="F131" s="29" t="n"/>
      <c r="G131" s="29" t="n"/>
      <c r="H131" s="30">
        <f>IF(A131="","",IFERROR(LOOKUP(A131,Settings!$C$14:$C$17,Settings!$B$14:$B$17),"Pre-MS1"))</f>
        <v/>
      </c>
      <c r="I131" s="32">
        <f>IF(OR(A131="",E131=""),0,IF(D131="Expense",-E131,E131))</f>
        <v/>
      </c>
      <c r="J131" s="33">
        <f>IF(A131="","",Settings!$C$5+SUM($I$5:I131))</f>
        <v/>
      </c>
    </row>
    <row r="132">
      <c r="A132" s="28" t="n"/>
      <c r="B132" s="29" t="n"/>
      <c r="C132" s="29" t="n"/>
      <c r="D132" s="30">
        <f>IF(C132="","",IFERROR(INDEX(Settings!$C$21:$C$34,MATCH(C132,Settings!$B$21:$B$34,0)),"Check category"))</f>
        <v/>
      </c>
      <c r="E132" s="31" t="n"/>
      <c r="F132" s="29" t="n"/>
      <c r="G132" s="29" t="n"/>
      <c r="H132" s="30">
        <f>IF(A132="","",IFERROR(LOOKUP(A132,Settings!$C$14:$C$17,Settings!$B$14:$B$17),"Pre-MS1"))</f>
        <v/>
      </c>
      <c r="I132" s="32">
        <f>IF(OR(A132="",E132=""),0,IF(D132="Expense",-E132,E132))</f>
        <v/>
      </c>
      <c r="J132" s="33">
        <f>IF(A132="","",Settings!$C$5+SUM($I$5:I132))</f>
        <v/>
      </c>
    </row>
    <row r="133">
      <c r="A133" s="28" t="n"/>
      <c r="B133" s="29" t="n"/>
      <c r="C133" s="29" t="n"/>
      <c r="D133" s="30">
        <f>IF(C133="","",IFERROR(INDEX(Settings!$C$21:$C$34,MATCH(C133,Settings!$B$21:$B$34,0)),"Check category"))</f>
        <v/>
      </c>
      <c r="E133" s="31" t="n"/>
      <c r="F133" s="29" t="n"/>
      <c r="G133" s="29" t="n"/>
      <c r="H133" s="30">
        <f>IF(A133="","",IFERROR(LOOKUP(A133,Settings!$C$14:$C$17,Settings!$B$14:$B$17),"Pre-MS1"))</f>
        <v/>
      </c>
      <c r="I133" s="32">
        <f>IF(OR(A133="",E133=""),0,IF(D133="Expense",-E133,E133))</f>
        <v/>
      </c>
      <c r="J133" s="33">
        <f>IF(A133="","",Settings!$C$5+SUM($I$5:I133))</f>
        <v/>
      </c>
    </row>
    <row r="134">
      <c r="A134" s="28" t="n"/>
      <c r="B134" s="29" t="n"/>
      <c r="C134" s="29" t="n"/>
      <c r="D134" s="30">
        <f>IF(C134="","",IFERROR(INDEX(Settings!$C$21:$C$34,MATCH(C134,Settings!$B$21:$B$34,0)),"Check category"))</f>
        <v/>
      </c>
      <c r="E134" s="31" t="n"/>
      <c r="F134" s="29" t="n"/>
      <c r="G134" s="29" t="n"/>
      <c r="H134" s="30">
        <f>IF(A134="","",IFERROR(LOOKUP(A134,Settings!$C$14:$C$17,Settings!$B$14:$B$17),"Pre-MS1"))</f>
        <v/>
      </c>
      <c r="I134" s="32">
        <f>IF(OR(A134="",E134=""),0,IF(D134="Expense",-E134,E134))</f>
        <v/>
      </c>
      <c r="J134" s="33">
        <f>IF(A134="","",Settings!$C$5+SUM($I$5:I134))</f>
        <v/>
      </c>
    </row>
    <row r="135">
      <c r="A135" s="28" t="n"/>
      <c r="B135" s="29" t="n"/>
      <c r="C135" s="29" t="n"/>
      <c r="D135" s="30">
        <f>IF(C135="","",IFERROR(INDEX(Settings!$C$21:$C$34,MATCH(C135,Settings!$B$21:$B$34,0)),"Check category"))</f>
        <v/>
      </c>
      <c r="E135" s="31" t="n"/>
      <c r="F135" s="29" t="n"/>
      <c r="G135" s="29" t="n"/>
      <c r="H135" s="30">
        <f>IF(A135="","",IFERROR(LOOKUP(A135,Settings!$C$14:$C$17,Settings!$B$14:$B$17),"Pre-MS1"))</f>
        <v/>
      </c>
      <c r="I135" s="32">
        <f>IF(OR(A135="",E135=""),0,IF(D135="Expense",-E135,E135))</f>
        <v/>
      </c>
      <c r="J135" s="33">
        <f>IF(A135="","",Settings!$C$5+SUM($I$5:I135))</f>
        <v/>
      </c>
    </row>
    <row r="136">
      <c r="A136" s="28" t="n"/>
      <c r="B136" s="29" t="n"/>
      <c r="C136" s="29" t="n"/>
      <c r="D136" s="30">
        <f>IF(C136="","",IFERROR(INDEX(Settings!$C$21:$C$34,MATCH(C136,Settings!$B$21:$B$34,0)),"Check category"))</f>
        <v/>
      </c>
      <c r="E136" s="31" t="n"/>
      <c r="F136" s="29" t="n"/>
      <c r="G136" s="29" t="n"/>
      <c r="H136" s="30">
        <f>IF(A136="","",IFERROR(LOOKUP(A136,Settings!$C$14:$C$17,Settings!$B$14:$B$17),"Pre-MS1"))</f>
        <v/>
      </c>
      <c r="I136" s="32">
        <f>IF(OR(A136="",E136=""),0,IF(D136="Expense",-E136,E136))</f>
        <v/>
      </c>
      <c r="J136" s="33">
        <f>IF(A136="","",Settings!$C$5+SUM($I$5:I136))</f>
        <v/>
      </c>
    </row>
    <row r="137">
      <c r="A137" s="28" t="n"/>
      <c r="B137" s="29" t="n"/>
      <c r="C137" s="29" t="n"/>
      <c r="D137" s="30">
        <f>IF(C137="","",IFERROR(INDEX(Settings!$C$21:$C$34,MATCH(C137,Settings!$B$21:$B$34,0)),"Check category"))</f>
        <v/>
      </c>
      <c r="E137" s="31" t="n"/>
      <c r="F137" s="29" t="n"/>
      <c r="G137" s="29" t="n"/>
      <c r="H137" s="30">
        <f>IF(A137="","",IFERROR(LOOKUP(A137,Settings!$C$14:$C$17,Settings!$B$14:$B$17),"Pre-MS1"))</f>
        <v/>
      </c>
      <c r="I137" s="32">
        <f>IF(OR(A137="",E137=""),0,IF(D137="Expense",-E137,E137))</f>
        <v/>
      </c>
      <c r="J137" s="33">
        <f>IF(A137="","",Settings!$C$5+SUM($I$5:I137))</f>
        <v/>
      </c>
    </row>
    <row r="138">
      <c r="A138" s="28" t="n"/>
      <c r="B138" s="29" t="n"/>
      <c r="C138" s="29" t="n"/>
      <c r="D138" s="30">
        <f>IF(C138="","",IFERROR(INDEX(Settings!$C$21:$C$34,MATCH(C138,Settings!$B$21:$B$34,0)),"Check category"))</f>
        <v/>
      </c>
      <c r="E138" s="31" t="n"/>
      <c r="F138" s="29" t="n"/>
      <c r="G138" s="29" t="n"/>
      <c r="H138" s="30">
        <f>IF(A138="","",IFERROR(LOOKUP(A138,Settings!$C$14:$C$17,Settings!$B$14:$B$17),"Pre-MS1"))</f>
        <v/>
      </c>
      <c r="I138" s="32">
        <f>IF(OR(A138="",E138=""),0,IF(D138="Expense",-E138,E138))</f>
        <v/>
      </c>
      <c r="J138" s="33">
        <f>IF(A138="","",Settings!$C$5+SUM($I$5:I138))</f>
        <v/>
      </c>
    </row>
    <row r="139">
      <c r="A139" s="28" t="n"/>
      <c r="B139" s="29" t="n"/>
      <c r="C139" s="29" t="n"/>
      <c r="D139" s="30">
        <f>IF(C139="","",IFERROR(INDEX(Settings!$C$21:$C$34,MATCH(C139,Settings!$B$21:$B$34,0)),"Check category"))</f>
        <v/>
      </c>
      <c r="E139" s="31" t="n"/>
      <c r="F139" s="29" t="n"/>
      <c r="G139" s="29" t="n"/>
      <c r="H139" s="30">
        <f>IF(A139="","",IFERROR(LOOKUP(A139,Settings!$C$14:$C$17,Settings!$B$14:$B$17),"Pre-MS1"))</f>
        <v/>
      </c>
      <c r="I139" s="32">
        <f>IF(OR(A139="",E139=""),0,IF(D139="Expense",-E139,E139))</f>
        <v/>
      </c>
      <c r="J139" s="33">
        <f>IF(A139="","",Settings!$C$5+SUM($I$5:I139))</f>
        <v/>
      </c>
    </row>
    <row r="140">
      <c r="A140" s="28" t="n"/>
      <c r="B140" s="29" t="n"/>
      <c r="C140" s="29" t="n"/>
      <c r="D140" s="30">
        <f>IF(C140="","",IFERROR(INDEX(Settings!$C$21:$C$34,MATCH(C140,Settings!$B$21:$B$34,0)),"Check category"))</f>
        <v/>
      </c>
      <c r="E140" s="31" t="n"/>
      <c r="F140" s="29" t="n"/>
      <c r="G140" s="29" t="n"/>
      <c r="H140" s="30">
        <f>IF(A140="","",IFERROR(LOOKUP(A140,Settings!$C$14:$C$17,Settings!$B$14:$B$17),"Pre-MS1"))</f>
        <v/>
      </c>
      <c r="I140" s="32">
        <f>IF(OR(A140="",E140=""),0,IF(D140="Expense",-E140,E140))</f>
        <v/>
      </c>
      <c r="J140" s="33">
        <f>IF(A140="","",Settings!$C$5+SUM($I$5:I140))</f>
        <v/>
      </c>
    </row>
    <row r="141">
      <c r="A141" s="28" t="n"/>
      <c r="B141" s="29" t="n"/>
      <c r="C141" s="29" t="n"/>
      <c r="D141" s="30">
        <f>IF(C141="","",IFERROR(INDEX(Settings!$C$21:$C$34,MATCH(C141,Settings!$B$21:$B$34,0)),"Check category"))</f>
        <v/>
      </c>
      <c r="E141" s="31" t="n"/>
      <c r="F141" s="29" t="n"/>
      <c r="G141" s="29" t="n"/>
      <c r="H141" s="30">
        <f>IF(A141="","",IFERROR(LOOKUP(A141,Settings!$C$14:$C$17,Settings!$B$14:$B$17),"Pre-MS1"))</f>
        <v/>
      </c>
      <c r="I141" s="32">
        <f>IF(OR(A141="",E141=""),0,IF(D141="Expense",-E141,E141))</f>
        <v/>
      </c>
      <c r="J141" s="33">
        <f>IF(A141="","",Settings!$C$5+SUM($I$5:I141))</f>
        <v/>
      </c>
    </row>
    <row r="142">
      <c r="A142" s="28" t="n"/>
      <c r="B142" s="29" t="n"/>
      <c r="C142" s="29" t="n"/>
      <c r="D142" s="30">
        <f>IF(C142="","",IFERROR(INDEX(Settings!$C$21:$C$34,MATCH(C142,Settings!$B$21:$B$34,0)),"Check category"))</f>
        <v/>
      </c>
      <c r="E142" s="31" t="n"/>
      <c r="F142" s="29" t="n"/>
      <c r="G142" s="29" t="n"/>
      <c r="H142" s="30">
        <f>IF(A142="","",IFERROR(LOOKUP(A142,Settings!$C$14:$C$17,Settings!$B$14:$B$17),"Pre-MS1"))</f>
        <v/>
      </c>
      <c r="I142" s="32">
        <f>IF(OR(A142="",E142=""),0,IF(D142="Expense",-E142,E142))</f>
        <v/>
      </c>
      <c r="J142" s="33">
        <f>IF(A142="","",Settings!$C$5+SUM($I$5:I142))</f>
        <v/>
      </c>
    </row>
    <row r="143">
      <c r="A143" s="28" t="n"/>
      <c r="B143" s="29" t="n"/>
      <c r="C143" s="29" t="n"/>
      <c r="D143" s="30">
        <f>IF(C143="","",IFERROR(INDEX(Settings!$C$21:$C$34,MATCH(C143,Settings!$B$21:$B$34,0)),"Check category"))</f>
        <v/>
      </c>
      <c r="E143" s="31" t="n"/>
      <c r="F143" s="29" t="n"/>
      <c r="G143" s="29" t="n"/>
      <c r="H143" s="30">
        <f>IF(A143="","",IFERROR(LOOKUP(A143,Settings!$C$14:$C$17,Settings!$B$14:$B$17),"Pre-MS1"))</f>
        <v/>
      </c>
      <c r="I143" s="32">
        <f>IF(OR(A143="",E143=""),0,IF(D143="Expense",-E143,E143))</f>
        <v/>
      </c>
      <c r="J143" s="33">
        <f>IF(A143="","",Settings!$C$5+SUM($I$5:I143))</f>
        <v/>
      </c>
    </row>
    <row r="144">
      <c r="A144" s="28" t="n"/>
      <c r="B144" s="29" t="n"/>
      <c r="C144" s="29" t="n"/>
      <c r="D144" s="30">
        <f>IF(C144="","",IFERROR(INDEX(Settings!$C$21:$C$34,MATCH(C144,Settings!$B$21:$B$34,0)),"Check category"))</f>
        <v/>
      </c>
      <c r="E144" s="31" t="n"/>
      <c r="F144" s="29" t="n"/>
      <c r="G144" s="29" t="n"/>
      <c r="H144" s="30">
        <f>IF(A144="","",IFERROR(LOOKUP(A144,Settings!$C$14:$C$17,Settings!$B$14:$B$17),"Pre-MS1"))</f>
        <v/>
      </c>
      <c r="I144" s="32">
        <f>IF(OR(A144="",E144=""),0,IF(D144="Expense",-E144,E144))</f>
        <v/>
      </c>
      <c r="J144" s="33">
        <f>IF(A144="","",Settings!$C$5+SUM($I$5:I144))</f>
        <v/>
      </c>
    </row>
    <row r="145">
      <c r="A145" s="28" t="n"/>
      <c r="B145" s="29" t="n"/>
      <c r="C145" s="29" t="n"/>
      <c r="D145" s="30">
        <f>IF(C145="","",IFERROR(INDEX(Settings!$C$21:$C$34,MATCH(C145,Settings!$B$21:$B$34,0)),"Check category"))</f>
        <v/>
      </c>
      <c r="E145" s="31" t="n"/>
      <c r="F145" s="29" t="n"/>
      <c r="G145" s="29" t="n"/>
      <c r="H145" s="30">
        <f>IF(A145="","",IFERROR(LOOKUP(A145,Settings!$C$14:$C$17,Settings!$B$14:$B$17),"Pre-MS1"))</f>
        <v/>
      </c>
      <c r="I145" s="32">
        <f>IF(OR(A145="",E145=""),0,IF(D145="Expense",-E145,E145))</f>
        <v/>
      </c>
      <c r="J145" s="33">
        <f>IF(A145="","",Settings!$C$5+SUM($I$5:I145))</f>
        <v/>
      </c>
    </row>
    <row r="146">
      <c r="A146" s="28" t="n"/>
      <c r="B146" s="29" t="n"/>
      <c r="C146" s="29" t="n"/>
      <c r="D146" s="30">
        <f>IF(C146="","",IFERROR(INDEX(Settings!$C$21:$C$34,MATCH(C146,Settings!$B$21:$B$34,0)),"Check category"))</f>
        <v/>
      </c>
      <c r="E146" s="31" t="n"/>
      <c r="F146" s="29" t="n"/>
      <c r="G146" s="29" t="n"/>
      <c r="H146" s="30">
        <f>IF(A146="","",IFERROR(LOOKUP(A146,Settings!$C$14:$C$17,Settings!$B$14:$B$17),"Pre-MS1"))</f>
        <v/>
      </c>
      <c r="I146" s="32">
        <f>IF(OR(A146="",E146=""),0,IF(D146="Expense",-E146,E146))</f>
        <v/>
      </c>
      <c r="J146" s="33">
        <f>IF(A146="","",Settings!$C$5+SUM($I$5:I146))</f>
        <v/>
      </c>
    </row>
    <row r="147">
      <c r="A147" s="28" t="n"/>
      <c r="B147" s="29" t="n"/>
      <c r="C147" s="29" t="n"/>
      <c r="D147" s="30">
        <f>IF(C147="","",IFERROR(INDEX(Settings!$C$21:$C$34,MATCH(C147,Settings!$B$21:$B$34,0)),"Check category"))</f>
        <v/>
      </c>
      <c r="E147" s="31" t="n"/>
      <c r="F147" s="29" t="n"/>
      <c r="G147" s="29" t="n"/>
      <c r="H147" s="30">
        <f>IF(A147="","",IFERROR(LOOKUP(A147,Settings!$C$14:$C$17,Settings!$B$14:$B$17),"Pre-MS1"))</f>
        <v/>
      </c>
      <c r="I147" s="32">
        <f>IF(OR(A147="",E147=""),0,IF(D147="Expense",-E147,E147))</f>
        <v/>
      </c>
      <c r="J147" s="33">
        <f>IF(A147="","",Settings!$C$5+SUM($I$5:I147))</f>
        <v/>
      </c>
    </row>
    <row r="148">
      <c r="A148" s="28" t="n"/>
      <c r="B148" s="29" t="n"/>
      <c r="C148" s="29" t="n"/>
      <c r="D148" s="30">
        <f>IF(C148="","",IFERROR(INDEX(Settings!$C$21:$C$34,MATCH(C148,Settings!$B$21:$B$34,0)),"Check category"))</f>
        <v/>
      </c>
      <c r="E148" s="31" t="n"/>
      <c r="F148" s="29" t="n"/>
      <c r="G148" s="29" t="n"/>
      <c r="H148" s="30">
        <f>IF(A148="","",IFERROR(LOOKUP(A148,Settings!$C$14:$C$17,Settings!$B$14:$B$17),"Pre-MS1"))</f>
        <v/>
      </c>
      <c r="I148" s="32">
        <f>IF(OR(A148="",E148=""),0,IF(D148="Expense",-E148,E148))</f>
        <v/>
      </c>
      <c r="J148" s="33">
        <f>IF(A148="","",Settings!$C$5+SUM($I$5:I148))</f>
        <v/>
      </c>
    </row>
    <row r="149">
      <c r="A149" s="28" t="n"/>
      <c r="B149" s="29" t="n"/>
      <c r="C149" s="29" t="n"/>
      <c r="D149" s="30">
        <f>IF(C149="","",IFERROR(INDEX(Settings!$C$21:$C$34,MATCH(C149,Settings!$B$21:$B$34,0)),"Check category"))</f>
        <v/>
      </c>
      <c r="E149" s="31" t="n"/>
      <c r="F149" s="29" t="n"/>
      <c r="G149" s="29" t="n"/>
      <c r="H149" s="30">
        <f>IF(A149="","",IFERROR(LOOKUP(A149,Settings!$C$14:$C$17,Settings!$B$14:$B$17),"Pre-MS1"))</f>
        <v/>
      </c>
      <c r="I149" s="32">
        <f>IF(OR(A149="",E149=""),0,IF(D149="Expense",-E149,E149))</f>
        <v/>
      </c>
      <c r="J149" s="33">
        <f>IF(A149="","",Settings!$C$5+SUM($I$5:I149))</f>
        <v/>
      </c>
    </row>
    <row r="150">
      <c r="A150" s="28" t="n"/>
      <c r="B150" s="29" t="n"/>
      <c r="C150" s="29" t="n"/>
      <c r="D150" s="30">
        <f>IF(C150="","",IFERROR(INDEX(Settings!$C$21:$C$34,MATCH(C150,Settings!$B$21:$B$34,0)),"Check category"))</f>
        <v/>
      </c>
      <c r="E150" s="31" t="n"/>
      <c r="F150" s="29" t="n"/>
      <c r="G150" s="29" t="n"/>
      <c r="H150" s="30">
        <f>IF(A150="","",IFERROR(LOOKUP(A150,Settings!$C$14:$C$17,Settings!$B$14:$B$17),"Pre-MS1"))</f>
        <v/>
      </c>
      <c r="I150" s="32">
        <f>IF(OR(A150="",E150=""),0,IF(D150="Expense",-E150,E150))</f>
        <v/>
      </c>
      <c r="J150" s="33">
        <f>IF(A150="","",Settings!$C$5+SUM($I$5:I150))</f>
        <v/>
      </c>
    </row>
    <row r="151">
      <c r="A151" s="28" t="n"/>
      <c r="B151" s="29" t="n"/>
      <c r="C151" s="29" t="n"/>
      <c r="D151" s="30">
        <f>IF(C151="","",IFERROR(INDEX(Settings!$C$21:$C$34,MATCH(C151,Settings!$B$21:$B$34,0)),"Check category"))</f>
        <v/>
      </c>
      <c r="E151" s="31" t="n"/>
      <c r="F151" s="29" t="n"/>
      <c r="G151" s="29" t="n"/>
      <c r="H151" s="30">
        <f>IF(A151="","",IFERROR(LOOKUP(A151,Settings!$C$14:$C$17,Settings!$B$14:$B$17),"Pre-MS1"))</f>
        <v/>
      </c>
      <c r="I151" s="32">
        <f>IF(OR(A151="",E151=""),0,IF(D151="Expense",-E151,E151))</f>
        <v/>
      </c>
      <c r="J151" s="33">
        <f>IF(A151="","",Settings!$C$5+SUM($I$5:I151))</f>
        <v/>
      </c>
    </row>
    <row r="152">
      <c r="A152" s="28" t="n"/>
      <c r="B152" s="29" t="n"/>
      <c r="C152" s="29" t="n"/>
      <c r="D152" s="30">
        <f>IF(C152="","",IFERROR(INDEX(Settings!$C$21:$C$34,MATCH(C152,Settings!$B$21:$B$34,0)),"Check category"))</f>
        <v/>
      </c>
      <c r="E152" s="31" t="n"/>
      <c r="F152" s="29" t="n"/>
      <c r="G152" s="29" t="n"/>
      <c r="H152" s="30">
        <f>IF(A152="","",IFERROR(LOOKUP(A152,Settings!$C$14:$C$17,Settings!$B$14:$B$17),"Pre-MS1"))</f>
        <v/>
      </c>
      <c r="I152" s="32">
        <f>IF(OR(A152="",E152=""),0,IF(D152="Expense",-E152,E152))</f>
        <v/>
      </c>
      <c r="J152" s="33">
        <f>IF(A152="","",Settings!$C$5+SUM($I$5:I152))</f>
        <v/>
      </c>
    </row>
    <row r="153">
      <c r="A153" s="28" t="n"/>
      <c r="B153" s="29" t="n"/>
      <c r="C153" s="29" t="n"/>
      <c r="D153" s="30">
        <f>IF(C153="","",IFERROR(INDEX(Settings!$C$21:$C$34,MATCH(C153,Settings!$B$21:$B$34,0)),"Check category"))</f>
        <v/>
      </c>
      <c r="E153" s="31" t="n"/>
      <c r="F153" s="29" t="n"/>
      <c r="G153" s="29" t="n"/>
      <c r="H153" s="30">
        <f>IF(A153="","",IFERROR(LOOKUP(A153,Settings!$C$14:$C$17,Settings!$B$14:$B$17),"Pre-MS1"))</f>
        <v/>
      </c>
      <c r="I153" s="32">
        <f>IF(OR(A153="",E153=""),0,IF(D153="Expense",-E153,E153))</f>
        <v/>
      </c>
      <c r="J153" s="33">
        <f>IF(A153="","",Settings!$C$5+SUM($I$5:I153))</f>
        <v/>
      </c>
    </row>
    <row r="154">
      <c r="A154" s="28" t="n"/>
      <c r="B154" s="29" t="n"/>
      <c r="C154" s="29" t="n"/>
      <c r="D154" s="30">
        <f>IF(C154="","",IFERROR(INDEX(Settings!$C$21:$C$34,MATCH(C154,Settings!$B$21:$B$34,0)),"Check category"))</f>
        <v/>
      </c>
      <c r="E154" s="31" t="n"/>
      <c r="F154" s="29" t="n"/>
      <c r="G154" s="29" t="n"/>
      <c r="H154" s="30">
        <f>IF(A154="","",IFERROR(LOOKUP(A154,Settings!$C$14:$C$17,Settings!$B$14:$B$17),"Pre-MS1"))</f>
        <v/>
      </c>
      <c r="I154" s="32">
        <f>IF(OR(A154="",E154=""),0,IF(D154="Expense",-E154,E154))</f>
        <v/>
      </c>
      <c r="J154" s="33">
        <f>IF(A154="","",Settings!$C$5+SUM($I$5:I154))</f>
        <v/>
      </c>
    </row>
    <row r="155">
      <c r="A155" s="28" t="n"/>
      <c r="B155" s="29" t="n"/>
      <c r="C155" s="29" t="n"/>
      <c r="D155" s="30">
        <f>IF(C155="","",IFERROR(INDEX(Settings!$C$21:$C$34,MATCH(C155,Settings!$B$21:$B$34,0)),"Check category"))</f>
        <v/>
      </c>
      <c r="E155" s="31" t="n"/>
      <c r="F155" s="29" t="n"/>
      <c r="G155" s="29" t="n"/>
      <c r="H155" s="30">
        <f>IF(A155="","",IFERROR(LOOKUP(A155,Settings!$C$14:$C$17,Settings!$B$14:$B$17),"Pre-MS1"))</f>
        <v/>
      </c>
      <c r="I155" s="32">
        <f>IF(OR(A155="",E155=""),0,IF(D155="Expense",-E155,E155))</f>
        <v/>
      </c>
      <c r="J155" s="33">
        <f>IF(A155="","",Settings!$C$5+SUM($I$5:I155))</f>
        <v/>
      </c>
    </row>
    <row r="156">
      <c r="A156" s="28" t="n"/>
      <c r="B156" s="29" t="n"/>
      <c r="C156" s="29" t="n"/>
      <c r="D156" s="30">
        <f>IF(C156="","",IFERROR(INDEX(Settings!$C$21:$C$34,MATCH(C156,Settings!$B$21:$B$34,0)),"Check category"))</f>
        <v/>
      </c>
      <c r="E156" s="31" t="n"/>
      <c r="F156" s="29" t="n"/>
      <c r="G156" s="29" t="n"/>
      <c r="H156" s="30">
        <f>IF(A156="","",IFERROR(LOOKUP(A156,Settings!$C$14:$C$17,Settings!$B$14:$B$17),"Pre-MS1"))</f>
        <v/>
      </c>
      <c r="I156" s="32">
        <f>IF(OR(A156="",E156=""),0,IF(D156="Expense",-E156,E156))</f>
        <v/>
      </c>
      <c r="J156" s="33">
        <f>IF(A156="","",Settings!$C$5+SUM($I$5:I156))</f>
        <v/>
      </c>
    </row>
    <row r="157">
      <c r="A157" s="28" t="n"/>
      <c r="B157" s="29" t="n"/>
      <c r="C157" s="29" t="n"/>
      <c r="D157" s="30">
        <f>IF(C157="","",IFERROR(INDEX(Settings!$C$21:$C$34,MATCH(C157,Settings!$B$21:$B$34,0)),"Check category"))</f>
        <v/>
      </c>
      <c r="E157" s="31" t="n"/>
      <c r="F157" s="29" t="n"/>
      <c r="G157" s="29" t="n"/>
      <c r="H157" s="30">
        <f>IF(A157="","",IFERROR(LOOKUP(A157,Settings!$C$14:$C$17,Settings!$B$14:$B$17),"Pre-MS1"))</f>
        <v/>
      </c>
      <c r="I157" s="32">
        <f>IF(OR(A157="",E157=""),0,IF(D157="Expense",-E157,E157))</f>
        <v/>
      </c>
      <c r="J157" s="33">
        <f>IF(A157="","",Settings!$C$5+SUM($I$5:I157))</f>
        <v/>
      </c>
    </row>
    <row r="158">
      <c r="A158" s="28" t="n"/>
      <c r="B158" s="29" t="n"/>
      <c r="C158" s="29" t="n"/>
      <c r="D158" s="30">
        <f>IF(C158="","",IFERROR(INDEX(Settings!$C$21:$C$34,MATCH(C158,Settings!$B$21:$B$34,0)),"Check category"))</f>
        <v/>
      </c>
      <c r="E158" s="31" t="n"/>
      <c r="F158" s="29" t="n"/>
      <c r="G158" s="29" t="n"/>
      <c r="H158" s="30">
        <f>IF(A158="","",IFERROR(LOOKUP(A158,Settings!$C$14:$C$17,Settings!$B$14:$B$17),"Pre-MS1"))</f>
        <v/>
      </c>
      <c r="I158" s="32">
        <f>IF(OR(A158="",E158=""),0,IF(D158="Expense",-E158,E158))</f>
        <v/>
      </c>
      <c r="J158" s="33">
        <f>IF(A158="","",Settings!$C$5+SUM($I$5:I158))</f>
        <v/>
      </c>
    </row>
    <row r="159">
      <c r="A159" s="28" t="n"/>
      <c r="B159" s="29" t="n"/>
      <c r="C159" s="29" t="n"/>
      <c r="D159" s="30">
        <f>IF(C159="","",IFERROR(INDEX(Settings!$C$21:$C$34,MATCH(C159,Settings!$B$21:$B$34,0)),"Check category"))</f>
        <v/>
      </c>
      <c r="E159" s="31" t="n"/>
      <c r="F159" s="29" t="n"/>
      <c r="G159" s="29" t="n"/>
      <c r="H159" s="30">
        <f>IF(A159="","",IFERROR(LOOKUP(A159,Settings!$C$14:$C$17,Settings!$B$14:$B$17),"Pre-MS1"))</f>
        <v/>
      </c>
      <c r="I159" s="32">
        <f>IF(OR(A159="",E159=""),0,IF(D159="Expense",-E159,E159))</f>
        <v/>
      </c>
      <c r="J159" s="33">
        <f>IF(A159="","",Settings!$C$5+SUM($I$5:I159))</f>
        <v/>
      </c>
    </row>
    <row r="160">
      <c r="A160" s="28" t="n"/>
      <c r="B160" s="29" t="n"/>
      <c r="C160" s="29" t="n"/>
      <c r="D160" s="30">
        <f>IF(C160="","",IFERROR(INDEX(Settings!$C$21:$C$34,MATCH(C160,Settings!$B$21:$B$34,0)),"Check category"))</f>
        <v/>
      </c>
      <c r="E160" s="31" t="n"/>
      <c r="F160" s="29" t="n"/>
      <c r="G160" s="29" t="n"/>
      <c r="H160" s="30">
        <f>IF(A160="","",IFERROR(LOOKUP(A160,Settings!$C$14:$C$17,Settings!$B$14:$B$17),"Pre-MS1"))</f>
        <v/>
      </c>
      <c r="I160" s="32">
        <f>IF(OR(A160="",E160=""),0,IF(D160="Expense",-E160,E160))</f>
        <v/>
      </c>
      <c r="J160" s="33">
        <f>IF(A160="","",Settings!$C$5+SUM($I$5:I160))</f>
        <v/>
      </c>
    </row>
    <row r="161">
      <c r="A161" s="28" t="n"/>
      <c r="B161" s="29" t="n"/>
      <c r="C161" s="29" t="n"/>
      <c r="D161" s="30">
        <f>IF(C161="","",IFERROR(INDEX(Settings!$C$21:$C$34,MATCH(C161,Settings!$B$21:$B$34,0)),"Check category"))</f>
        <v/>
      </c>
      <c r="E161" s="31" t="n"/>
      <c r="F161" s="29" t="n"/>
      <c r="G161" s="29" t="n"/>
      <c r="H161" s="30">
        <f>IF(A161="","",IFERROR(LOOKUP(A161,Settings!$C$14:$C$17,Settings!$B$14:$B$17),"Pre-MS1"))</f>
        <v/>
      </c>
      <c r="I161" s="32">
        <f>IF(OR(A161="",E161=""),0,IF(D161="Expense",-E161,E161))</f>
        <v/>
      </c>
      <c r="J161" s="33">
        <f>IF(A161="","",Settings!$C$5+SUM($I$5:I161))</f>
        <v/>
      </c>
    </row>
    <row r="162">
      <c r="A162" s="28" t="n"/>
      <c r="B162" s="29" t="n"/>
      <c r="C162" s="29" t="n"/>
      <c r="D162" s="30">
        <f>IF(C162="","",IFERROR(INDEX(Settings!$C$21:$C$34,MATCH(C162,Settings!$B$21:$B$34,0)),"Check category"))</f>
        <v/>
      </c>
      <c r="E162" s="31" t="n"/>
      <c r="F162" s="29" t="n"/>
      <c r="G162" s="29" t="n"/>
      <c r="H162" s="30">
        <f>IF(A162="","",IFERROR(LOOKUP(A162,Settings!$C$14:$C$17,Settings!$B$14:$B$17),"Pre-MS1"))</f>
        <v/>
      </c>
      <c r="I162" s="32">
        <f>IF(OR(A162="",E162=""),0,IF(D162="Expense",-E162,E162))</f>
        <v/>
      </c>
      <c r="J162" s="33">
        <f>IF(A162="","",Settings!$C$5+SUM($I$5:I162))</f>
        <v/>
      </c>
    </row>
    <row r="163">
      <c r="A163" s="28" t="n"/>
      <c r="B163" s="29" t="n"/>
      <c r="C163" s="29" t="n"/>
      <c r="D163" s="30">
        <f>IF(C163="","",IFERROR(INDEX(Settings!$C$21:$C$34,MATCH(C163,Settings!$B$21:$B$34,0)),"Check category"))</f>
        <v/>
      </c>
      <c r="E163" s="31" t="n"/>
      <c r="F163" s="29" t="n"/>
      <c r="G163" s="29" t="n"/>
      <c r="H163" s="30">
        <f>IF(A163="","",IFERROR(LOOKUP(A163,Settings!$C$14:$C$17,Settings!$B$14:$B$17),"Pre-MS1"))</f>
        <v/>
      </c>
      <c r="I163" s="32">
        <f>IF(OR(A163="",E163=""),0,IF(D163="Expense",-E163,E163))</f>
        <v/>
      </c>
      <c r="J163" s="33">
        <f>IF(A163="","",Settings!$C$5+SUM($I$5:I163))</f>
        <v/>
      </c>
    </row>
    <row r="164">
      <c r="A164" s="28" t="n"/>
      <c r="B164" s="29" t="n"/>
      <c r="C164" s="29" t="n"/>
      <c r="D164" s="30">
        <f>IF(C164="","",IFERROR(INDEX(Settings!$C$21:$C$34,MATCH(C164,Settings!$B$21:$B$34,0)),"Check category"))</f>
        <v/>
      </c>
      <c r="E164" s="31" t="n"/>
      <c r="F164" s="29" t="n"/>
      <c r="G164" s="29" t="n"/>
      <c r="H164" s="30">
        <f>IF(A164="","",IFERROR(LOOKUP(A164,Settings!$C$14:$C$17,Settings!$B$14:$B$17),"Pre-MS1"))</f>
        <v/>
      </c>
      <c r="I164" s="32">
        <f>IF(OR(A164="",E164=""),0,IF(D164="Expense",-E164,E164))</f>
        <v/>
      </c>
      <c r="J164" s="33">
        <f>IF(A164="","",Settings!$C$5+SUM($I$5:I164))</f>
        <v/>
      </c>
    </row>
    <row r="165">
      <c r="A165" s="28" t="n"/>
      <c r="B165" s="29" t="n"/>
      <c r="C165" s="29" t="n"/>
      <c r="D165" s="30">
        <f>IF(C165="","",IFERROR(INDEX(Settings!$C$21:$C$34,MATCH(C165,Settings!$B$21:$B$34,0)),"Check category"))</f>
        <v/>
      </c>
      <c r="E165" s="31" t="n"/>
      <c r="F165" s="29" t="n"/>
      <c r="G165" s="29" t="n"/>
      <c r="H165" s="30">
        <f>IF(A165="","",IFERROR(LOOKUP(A165,Settings!$C$14:$C$17,Settings!$B$14:$B$17),"Pre-MS1"))</f>
        <v/>
      </c>
      <c r="I165" s="32">
        <f>IF(OR(A165="",E165=""),0,IF(D165="Expense",-E165,E165))</f>
        <v/>
      </c>
      <c r="J165" s="33">
        <f>IF(A165="","",Settings!$C$5+SUM($I$5:I165))</f>
        <v/>
      </c>
    </row>
    <row r="166">
      <c r="A166" s="28" t="n"/>
      <c r="B166" s="29" t="n"/>
      <c r="C166" s="29" t="n"/>
      <c r="D166" s="30">
        <f>IF(C166="","",IFERROR(INDEX(Settings!$C$21:$C$34,MATCH(C166,Settings!$B$21:$B$34,0)),"Check category"))</f>
        <v/>
      </c>
      <c r="E166" s="31" t="n"/>
      <c r="F166" s="29" t="n"/>
      <c r="G166" s="29" t="n"/>
      <c r="H166" s="30">
        <f>IF(A166="","",IFERROR(LOOKUP(A166,Settings!$C$14:$C$17,Settings!$B$14:$B$17),"Pre-MS1"))</f>
        <v/>
      </c>
      <c r="I166" s="32">
        <f>IF(OR(A166="",E166=""),0,IF(D166="Expense",-E166,E166))</f>
        <v/>
      </c>
      <c r="J166" s="33">
        <f>IF(A166="","",Settings!$C$5+SUM($I$5:I166))</f>
        <v/>
      </c>
    </row>
    <row r="167">
      <c r="A167" s="28" t="n"/>
      <c r="B167" s="29" t="n"/>
      <c r="C167" s="29" t="n"/>
      <c r="D167" s="30">
        <f>IF(C167="","",IFERROR(INDEX(Settings!$C$21:$C$34,MATCH(C167,Settings!$B$21:$B$34,0)),"Check category"))</f>
        <v/>
      </c>
      <c r="E167" s="31" t="n"/>
      <c r="F167" s="29" t="n"/>
      <c r="G167" s="29" t="n"/>
      <c r="H167" s="30">
        <f>IF(A167="","",IFERROR(LOOKUP(A167,Settings!$C$14:$C$17,Settings!$B$14:$B$17),"Pre-MS1"))</f>
        <v/>
      </c>
      <c r="I167" s="32">
        <f>IF(OR(A167="",E167=""),0,IF(D167="Expense",-E167,E167))</f>
        <v/>
      </c>
      <c r="J167" s="33">
        <f>IF(A167="","",Settings!$C$5+SUM($I$5:I167))</f>
        <v/>
      </c>
    </row>
    <row r="168">
      <c r="A168" s="28" t="n"/>
      <c r="B168" s="29" t="n"/>
      <c r="C168" s="29" t="n"/>
      <c r="D168" s="30">
        <f>IF(C168="","",IFERROR(INDEX(Settings!$C$21:$C$34,MATCH(C168,Settings!$B$21:$B$34,0)),"Check category"))</f>
        <v/>
      </c>
      <c r="E168" s="31" t="n"/>
      <c r="F168" s="29" t="n"/>
      <c r="G168" s="29" t="n"/>
      <c r="H168" s="30">
        <f>IF(A168="","",IFERROR(LOOKUP(A168,Settings!$C$14:$C$17,Settings!$B$14:$B$17),"Pre-MS1"))</f>
        <v/>
      </c>
      <c r="I168" s="32">
        <f>IF(OR(A168="",E168=""),0,IF(D168="Expense",-E168,E168))</f>
        <v/>
      </c>
      <c r="J168" s="33">
        <f>IF(A168="","",Settings!$C$5+SUM($I$5:I168))</f>
        <v/>
      </c>
    </row>
    <row r="169">
      <c r="A169" s="28" t="n"/>
      <c r="B169" s="29" t="n"/>
      <c r="C169" s="29" t="n"/>
      <c r="D169" s="30">
        <f>IF(C169="","",IFERROR(INDEX(Settings!$C$21:$C$34,MATCH(C169,Settings!$B$21:$B$34,0)),"Check category"))</f>
        <v/>
      </c>
      <c r="E169" s="31" t="n"/>
      <c r="F169" s="29" t="n"/>
      <c r="G169" s="29" t="n"/>
      <c r="H169" s="30">
        <f>IF(A169="","",IFERROR(LOOKUP(A169,Settings!$C$14:$C$17,Settings!$B$14:$B$17),"Pre-MS1"))</f>
        <v/>
      </c>
      <c r="I169" s="32">
        <f>IF(OR(A169="",E169=""),0,IF(D169="Expense",-E169,E169))</f>
        <v/>
      </c>
      <c r="J169" s="33">
        <f>IF(A169="","",Settings!$C$5+SUM($I$5:I169))</f>
        <v/>
      </c>
    </row>
    <row r="170">
      <c r="A170" s="28" t="n"/>
      <c r="B170" s="29" t="n"/>
      <c r="C170" s="29" t="n"/>
      <c r="D170" s="30">
        <f>IF(C170="","",IFERROR(INDEX(Settings!$C$21:$C$34,MATCH(C170,Settings!$B$21:$B$34,0)),"Check category"))</f>
        <v/>
      </c>
      <c r="E170" s="31" t="n"/>
      <c r="F170" s="29" t="n"/>
      <c r="G170" s="29" t="n"/>
      <c r="H170" s="30">
        <f>IF(A170="","",IFERROR(LOOKUP(A170,Settings!$C$14:$C$17,Settings!$B$14:$B$17),"Pre-MS1"))</f>
        <v/>
      </c>
      <c r="I170" s="32">
        <f>IF(OR(A170="",E170=""),0,IF(D170="Expense",-E170,E170))</f>
        <v/>
      </c>
      <c r="J170" s="33">
        <f>IF(A170="","",Settings!$C$5+SUM($I$5:I170))</f>
        <v/>
      </c>
    </row>
    <row r="171">
      <c r="A171" s="28" t="n"/>
      <c r="B171" s="29" t="n"/>
      <c r="C171" s="29" t="n"/>
      <c r="D171" s="30">
        <f>IF(C171="","",IFERROR(INDEX(Settings!$C$21:$C$34,MATCH(C171,Settings!$B$21:$B$34,0)),"Check category"))</f>
        <v/>
      </c>
      <c r="E171" s="31" t="n"/>
      <c r="F171" s="29" t="n"/>
      <c r="G171" s="29" t="n"/>
      <c r="H171" s="30">
        <f>IF(A171="","",IFERROR(LOOKUP(A171,Settings!$C$14:$C$17,Settings!$B$14:$B$17),"Pre-MS1"))</f>
        <v/>
      </c>
      <c r="I171" s="32">
        <f>IF(OR(A171="",E171=""),0,IF(D171="Expense",-E171,E171))</f>
        <v/>
      </c>
      <c r="J171" s="33">
        <f>IF(A171="","",Settings!$C$5+SUM($I$5:I171))</f>
        <v/>
      </c>
    </row>
    <row r="172">
      <c r="A172" s="28" t="n"/>
      <c r="B172" s="29" t="n"/>
      <c r="C172" s="29" t="n"/>
      <c r="D172" s="30">
        <f>IF(C172="","",IFERROR(INDEX(Settings!$C$21:$C$34,MATCH(C172,Settings!$B$21:$B$34,0)),"Check category"))</f>
        <v/>
      </c>
      <c r="E172" s="31" t="n"/>
      <c r="F172" s="29" t="n"/>
      <c r="G172" s="29" t="n"/>
      <c r="H172" s="30">
        <f>IF(A172="","",IFERROR(LOOKUP(A172,Settings!$C$14:$C$17,Settings!$B$14:$B$17),"Pre-MS1"))</f>
        <v/>
      </c>
      <c r="I172" s="32">
        <f>IF(OR(A172="",E172=""),0,IF(D172="Expense",-E172,E172))</f>
        <v/>
      </c>
      <c r="J172" s="33">
        <f>IF(A172="","",Settings!$C$5+SUM($I$5:I172))</f>
        <v/>
      </c>
    </row>
    <row r="173">
      <c r="A173" s="28" t="n"/>
      <c r="B173" s="29" t="n"/>
      <c r="C173" s="29" t="n"/>
      <c r="D173" s="30">
        <f>IF(C173="","",IFERROR(INDEX(Settings!$C$21:$C$34,MATCH(C173,Settings!$B$21:$B$34,0)),"Check category"))</f>
        <v/>
      </c>
      <c r="E173" s="31" t="n"/>
      <c r="F173" s="29" t="n"/>
      <c r="G173" s="29" t="n"/>
      <c r="H173" s="30">
        <f>IF(A173="","",IFERROR(LOOKUP(A173,Settings!$C$14:$C$17,Settings!$B$14:$B$17),"Pre-MS1"))</f>
        <v/>
      </c>
      <c r="I173" s="32">
        <f>IF(OR(A173="",E173=""),0,IF(D173="Expense",-E173,E173))</f>
        <v/>
      </c>
      <c r="J173" s="33">
        <f>IF(A173="","",Settings!$C$5+SUM($I$5:I173))</f>
        <v/>
      </c>
    </row>
    <row r="174">
      <c r="A174" s="28" t="n"/>
      <c r="B174" s="29" t="n"/>
      <c r="C174" s="29" t="n"/>
      <c r="D174" s="30">
        <f>IF(C174="","",IFERROR(INDEX(Settings!$C$21:$C$34,MATCH(C174,Settings!$B$21:$B$34,0)),"Check category"))</f>
        <v/>
      </c>
      <c r="E174" s="31" t="n"/>
      <c r="F174" s="29" t="n"/>
      <c r="G174" s="29" t="n"/>
      <c r="H174" s="30">
        <f>IF(A174="","",IFERROR(LOOKUP(A174,Settings!$C$14:$C$17,Settings!$B$14:$B$17),"Pre-MS1"))</f>
        <v/>
      </c>
      <c r="I174" s="32">
        <f>IF(OR(A174="",E174=""),0,IF(D174="Expense",-E174,E174))</f>
        <v/>
      </c>
      <c r="J174" s="33">
        <f>IF(A174="","",Settings!$C$5+SUM($I$5:I174))</f>
        <v/>
      </c>
    </row>
    <row r="175">
      <c r="A175" s="28" t="n"/>
      <c r="B175" s="29" t="n"/>
      <c r="C175" s="29" t="n"/>
      <c r="D175" s="30">
        <f>IF(C175="","",IFERROR(INDEX(Settings!$C$21:$C$34,MATCH(C175,Settings!$B$21:$B$34,0)),"Check category"))</f>
        <v/>
      </c>
      <c r="E175" s="31" t="n"/>
      <c r="F175" s="29" t="n"/>
      <c r="G175" s="29" t="n"/>
      <c r="H175" s="30">
        <f>IF(A175="","",IFERROR(LOOKUP(A175,Settings!$C$14:$C$17,Settings!$B$14:$B$17),"Pre-MS1"))</f>
        <v/>
      </c>
      <c r="I175" s="32">
        <f>IF(OR(A175="",E175=""),0,IF(D175="Expense",-E175,E175))</f>
        <v/>
      </c>
      <c r="J175" s="33">
        <f>IF(A175="","",Settings!$C$5+SUM($I$5:I175))</f>
        <v/>
      </c>
    </row>
    <row r="176">
      <c r="A176" s="28" t="n"/>
      <c r="B176" s="29" t="n"/>
      <c r="C176" s="29" t="n"/>
      <c r="D176" s="30">
        <f>IF(C176="","",IFERROR(INDEX(Settings!$C$21:$C$34,MATCH(C176,Settings!$B$21:$B$34,0)),"Check category"))</f>
        <v/>
      </c>
      <c r="E176" s="31" t="n"/>
      <c r="F176" s="29" t="n"/>
      <c r="G176" s="29" t="n"/>
      <c r="H176" s="30">
        <f>IF(A176="","",IFERROR(LOOKUP(A176,Settings!$C$14:$C$17,Settings!$B$14:$B$17),"Pre-MS1"))</f>
        <v/>
      </c>
      <c r="I176" s="32">
        <f>IF(OR(A176="",E176=""),0,IF(D176="Expense",-E176,E176))</f>
        <v/>
      </c>
      <c r="J176" s="33">
        <f>IF(A176="","",Settings!$C$5+SUM($I$5:I176))</f>
        <v/>
      </c>
    </row>
    <row r="177">
      <c r="A177" s="28" t="n"/>
      <c r="B177" s="29" t="n"/>
      <c r="C177" s="29" t="n"/>
      <c r="D177" s="30">
        <f>IF(C177="","",IFERROR(INDEX(Settings!$C$21:$C$34,MATCH(C177,Settings!$B$21:$B$34,0)),"Check category"))</f>
        <v/>
      </c>
      <c r="E177" s="31" t="n"/>
      <c r="F177" s="29" t="n"/>
      <c r="G177" s="29" t="n"/>
      <c r="H177" s="30">
        <f>IF(A177="","",IFERROR(LOOKUP(A177,Settings!$C$14:$C$17,Settings!$B$14:$B$17),"Pre-MS1"))</f>
        <v/>
      </c>
      <c r="I177" s="32">
        <f>IF(OR(A177="",E177=""),0,IF(D177="Expense",-E177,E177))</f>
        <v/>
      </c>
      <c r="J177" s="33">
        <f>IF(A177="","",Settings!$C$5+SUM($I$5:I177))</f>
        <v/>
      </c>
    </row>
    <row r="178">
      <c r="A178" s="28" t="n"/>
      <c r="B178" s="29" t="n"/>
      <c r="C178" s="29" t="n"/>
      <c r="D178" s="30">
        <f>IF(C178="","",IFERROR(INDEX(Settings!$C$21:$C$34,MATCH(C178,Settings!$B$21:$B$34,0)),"Check category"))</f>
        <v/>
      </c>
      <c r="E178" s="31" t="n"/>
      <c r="F178" s="29" t="n"/>
      <c r="G178" s="29" t="n"/>
      <c r="H178" s="30">
        <f>IF(A178="","",IFERROR(LOOKUP(A178,Settings!$C$14:$C$17,Settings!$B$14:$B$17),"Pre-MS1"))</f>
        <v/>
      </c>
      <c r="I178" s="32">
        <f>IF(OR(A178="",E178=""),0,IF(D178="Expense",-E178,E178))</f>
        <v/>
      </c>
      <c r="J178" s="33">
        <f>IF(A178="","",Settings!$C$5+SUM($I$5:I178))</f>
        <v/>
      </c>
    </row>
    <row r="179">
      <c r="A179" s="28" t="n"/>
      <c r="B179" s="29" t="n"/>
      <c r="C179" s="29" t="n"/>
      <c r="D179" s="30">
        <f>IF(C179="","",IFERROR(INDEX(Settings!$C$21:$C$34,MATCH(C179,Settings!$B$21:$B$34,0)),"Check category"))</f>
        <v/>
      </c>
      <c r="E179" s="31" t="n"/>
      <c r="F179" s="29" t="n"/>
      <c r="G179" s="29" t="n"/>
      <c r="H179" s="30">
        <f>IF(A179="","",IFERROR(LOOKUP(A179,Settings!$C$14:$C$17,Settings!$B$14:$B$17),"Pre-MS1"))</f>
        <v/>
      </c>
      <c r="I179" s="32">
        <f>IF(OR(A179="",E179=""),0,IF(D179="Expense",-E179,E179))</f>
        <v/>
      </c>
      <c r="J179" s="33">
        <f>IF(A179="","",Settings!$C$5+SUM($I$5:I179))</f>
        <v/>
      </c>
    </row>
    <row r="180">
      <c r="A180" s="28" t="n"/>
      <c r="B180" s="29" t="n"/>
      <c r="C180" s="29" t="n"/>
      <c r="D180" s="30">
        <f>IF(C180="","",IFERROR(INDEX(Settings!$C$21:$C$34,MATCH(C180,Settings!$B$21:$B$34,0)),"Check category"))</f>
        <v/>
      </c>
      <c r="E180" s="31" t="n"/>
      <c r="F180" s="29" t="n"/>
      <c r="G180" s="29" t="n"/>
      <c r="H180" s="30">
        <f>IF(A180="","",IFERROR(LOOKUP(A180,Settings!$C$14:$C$17,Settings!$B$14:$B$17),"Pre-MS1"))</f>
        <v/>
      </c>
      <c r="I180" s="32">
        <f>IF(OR(A180="",E180=""),0,IF(D180="Expense",-E180,E180))</f>
        <v/>
      </c>
      <c r="J180" s="33">
        <f>IF(A180="","",Settings!$C$5+SUM($I$5:I180))</f>
        <v/>
      </c>
    </row>
    <row r="181">
      <c r="A181" s="28" t="n"/>
      <c r="B181" s="29" t="n"/>
      <c r="C181" s="29" t="n"/>
      <c r="D181" s="30">
        <f>IF(C181="","",IFERROR(INDEX(Settings!$C$21:$C$34,MATCH(C181,Settings!$B$21:$B$34,0)),"Check category"))</f>
        <v/>
      </c>
      <c r="E181" s="31" t="n"/>
      <c r="F181" s="29" t="n"/>
      <c r="G181" s="29" t="n"/>
      <c r="H181" s="30">
        <f>IF(A181="","",IFERROR(LOOKUP(A181,Settings!$C$14:$C$17,Settings!$B$14:$B$17),"Pre-MS1"))</f>
        <v/>
      </c>
      <c r="I181" s="32">
        <f>IF(OR(A181="",E181=""),0,IF(D181="Expense",-E181,E181))</f>
        <v/>
      </c>
      <c r="J181" s="33">
        <f>IF(A181="","",Settings!$C$5+SUM($I$5:I181))</f>
        <v/>
      </c>
    </row>
    <row r="182">
      <c r="A182" s="28" t="n"/>
      <c r="B182" s="29" t="n"/>
      <c r="C182" s="29" t="n"/>
      <c r="D182" s="30">
        <f>IF(C182="","",IFERROR(INDEX(Settings!$C$21:$C$34,MATCH(C182,Settings!$B$21:$B$34,0)),"Check category"))</f>
        <v/>
      </c>
      <c r="E182" s="31" t="n"/>
      <c r="F182" s="29" t="n"/>
      <c r="G182" s="29" t="n"/>
      <c r="H182" s="30">
        <f>IF(A182="","",IFERROR(LOOKUP(A182,Settings!$C$14:$C$17,Settings!$B$14:$B$17),"Pre-MS1"))</f>
        <v/>
      </c>
      <c r="I182" s="32">
        <f>IF(OR(A182="",E182=""),0,IF(D182="Expense",-E182,E182))</f>
        <v/>
      </c>
      <c r="J182" s="33">
        <f>IF(A182="","",Settings!$C$5+SUM($I$5:I182))</f>
        <v/>
      </c>
    </row>
    <row r="183">
      <c r="A183" s="28" t="n"/>
      <c r="B183" s="29" t="n"/>
      <c r="C183" s="29" t="n"/>
      <c r="D183" s="30">
        <f>IF(C183="","",IFERROR(INDEX(Settings!$C$21:$C$34,MATCH(C183,Settings!$B$21:$B$34,0)),"Check category"))</f>
        <v/>
      </c>
      <c r="E183" s="31" t="n"/>
      <c r="F183" s="29" t="n"/>
      <c r="G183" s="29" t="n"/>
      <c r="H183" s="30">
        <f>IF(A183="","",IFERROR(LOOKUP(A183,Settings!$C$14:$C$17,Settings!$B$14:$B$17),"Pre-MS1"))</f>
        <v/>
      </c>
      <c r="I183" s="32">
        <f>IF(OR(A183="",E183=""),0,IF(D183="Expense",-E183,E183))</f>
        <v/>
      </c>
      <c r="J183" s="33">
        <f>IF(A183="","",Settings!$C$5+SUM($I$5:I183))</f>
        <v/>
      </c>
    </row>
    <row r="184">
      <c r="A184" s="28" t="n"/>
      <c r="B184" s="29" t="n"/>
      <c r="C184" s="29" t="n"/>
      <c r="D184" s="30">
        <f>IF(C184="","",IFERROR(INDEX(Settings!$C$21:$C$34,MATCH(C184,Settings!$B$21:$B$34,0)),"Check category"))</f>
        <v/>
      </c>
      <c r="E184" s="31" t="n"/>
      <c r="F184" s="29" t="n"/>
      <c r="G184" s="29" t="n"/>
      <c r="H184" s="30">
        <f>IF(A184="","",IFERROR(LOOKUP(A184,Settings!$C$14:$C$17,Settings!$B$14:$B$17),"Pre-MS1"))</f>
        <v/>
      </c>
      <c r="I184" s="32">
        <f>IF(OR(A184="",E184=""),0,IF(D184="Expense",-E184,E184))</f>
        <v/>
      </c>
      <c r="J184" s="33">
        <f>IF(A184="","",Settings!$C$5+SUM($I$5:I184))</f>
        <v/>
      </c>
    </row>
    <row r="185">
      <c r="A185" s="28" t="n"/>
      <c r="B185" s="29" t="n"/>
      <c r="C185" s="29" t="n"/>
      <c r="D185" s="30">
        <f>IF(C185="","",IFERROR(INDEX(Settings!$C$21:$C$34,MATCH(C185,Settings!$B$21:$B$34,0)),"Check category"))</f>
        <v/>
      </c>
      <c r="E185" s="31" t="n"/>
      <c r="F185" s="29" t="n"/>
      <c r="G185" s="29" t="n"/>
      <c r="H185" s="30">
        <f>IF(A185="","",IFERROR(LOOKUP(A185,Settings!$C$14:$C$17,Settings!$B$14:$B$17),"Pre-MS1"))</f>
        <v/>
      </c>
      <c r="I185" s="32">
        <f>IF(OR(A185="",E185=""),0,IF(D185="Expense",-E185,E185))</f>
        <v/>
      </c>
      <c r="J185" s="33">
        <f>IF(A185="","",Settings!$C$5+SUM($I$5:I185))</f>
        <v/>
      </c>
    </row>
    <row r="186">
      <c r="A186" s="28" t="n"/>
      <c r="B186" s="29" t="n"/>
      <c r="C186" s="29" t="n"/>
      <c r="D186" s="30">
        <f>IF(C186="","",IFERROR(INDEX(Settings!$C$21:$C$34,MATCH(C186,Settings!$B$21:$B$34,0)),"Check category"))</f>
        <v/>
      </c>
      <c r="E186" s="31" t="n"/>
      <c r="F186" s="29" t="n"/>
      <c r="G186" s="29" t="n"/>
      <c r="H186" s="30">
        <f>IF(A186="","",IFERROR(LOOKUP(A186,Settings!$C$14:$C$17,Settings!$B$14:$B$17),"Pre-MS1"))</f>
        <v/>
      </c>
      <c r="I186" s="32">
        <f>IF(OR(A186="",E186=""),0,IF(D186="Expense",-E186,E186))</f>
        <v/>
      </c>
      <c r="J186" s="33">
        <f>IF(A186="","",Settings!$C$5+SUM($I$5:I186))</f>
        <v/>
      </c>
    </row>
    <row r="187">
      <c r="A187" s="28" t="n"/>
      <c r="B187" s="29" t="n"/>
      <c r="C187" s="29" t="n"/>
      <c r="D187" s="30">
        <f>IF(C187="","",IFERROR(INDEX(Settings!$C$21:$C$34,MATCH(C187,Settings!$B$21:$B$34,0)),"Check category"))</f>
        <v/>
      </c>
      <c r="E187" s="31" t="n"/>
      <c r="F187" s="29" t="n"/>
      <c r="G187" s="29" t="n"/>
      <c r="H187" s="30">
        <f>IF(A187="","",IFERROR(LOOKUP(A187,Settings!$C$14:$C$17,Settings!$B$14:$B$17),"Pre-MS1"))</f>
        <v/>
      </c>
      <c r="I187" s="32">
        <f>IF(OR(A187="",E187=""),0,IF(D187="Expense",-E187,E187))</f>
        <v/>
      </c>
      <c r="J187" s="33">
        <f>IF(A187="","",Settings!$C$5+SUM($I$5:I187))</f>
        <v/>
      </c>
    </row>
    <row r="188">
      <c r="A188" s="28" t="n"/>
      <c r="B188" s="29" t="n"/>
      <c r="C188" s="29" t="n"/>
      <c r="D188" s="30">
        <f>IF(C188="","",IFERROR(INDEX(Settings!$C$21:$C$34,MATCH(C188,Settings!$B$21:$B$34,0)),"Check category"))</f>
        <v/>
      </c>
      <c r="E188" s="31" t="n"/>
      <c r="F188" s="29" t="n"/>
      <c r="G188" s="29" t="n"/>
      <c r="H188" s="30">
        <f>IF(A188="","",IFERROR(LOOKUP(A188,Settings!$C$14:$C$17,Settings!$B$14:$B$17),"Pre-MS1"))</f>
        <v/>
      </c>
      <c r="I188" s="32">
        <f>IF(OR(A188="",E188=""),0,IF(D188="Expense",-E188,E188))</f>
        <v/>
      </c>
      <c r="J188" s="33">
        <f>IF(A188="","",Settings!$C$5+SUM($I$5:I188))</f>
        <v/>
      </c>
    </row>
    <row r="189">
      <c r="A189" s="28" t="n"/>
      <c r="B189" s="29" t="n"/>
      <c r="C189" s="29" t="n"/>
      <c r="D189" s="30">
        <f>IF(C189="","",IFERROR(INDEX(Settings!$C$21:$C$34,MATCH(C189,Settings!$B$21:$B$34,0)),"Check category"))</f>
        <v/>
      </c>
      <c r="E189" s="31" t="n"/>
      <c r="F189" s="29" t="n"/>
      <c r="G189" s="29" t="n"/>
      <c r="H189" s="30">
        <f>IF(A189="","",IFERROR(LOOKUP(A189,Settings!$C$14:$C$17,Settings!$B$14:$B$17),"Pre-MS1"))</f>
        <v/>
      </c>
      <c r="I189" s="32">
        <f>IF(OR(A189="",E189=""),0,IF(D189="Expense",-E189,E189))</f>
        <v/>
      </c>
      <c r="J189" s="33">
        <f>IF(A189="","",Settings!$C$5+SUM($I$5:I189))</f>
        <v/>
      </c>
    </row>
    <row r="190">
      <c r="A190" s="28" t="n"/>
      <c r="B190" s="29" t="n"/>
      <c r="C190" s="29" t="n"/>
      <c r="D190" s="30">
        <f>IF(C190="","",IFERROR(INDEX(Settings!$C$21:$C$34,MATCH(C190,Settings!$B$21:$B$34,0)),"Check category"))</f>
        <v/>
      </c>
      <c r="E190" s="31" t="n"/>
      <c r="F190" s="29" t="n"/>
      <c r="G190" s="29" t="n"/>
      <c r="H190" s="30">
        <f>IF(A190="","",IFERROR(LOOKUP(A190,Settings!$C$14:$C$17,Settings!$B$14:$B$17),"Pre-MS1"))</f>
        <v/>
      </c>
      <c r="I190" s="32">
        <f>IF(OR(A190="",E190=""),0,IF(D190="Expense",-E190,E190))</f>
        <v/>
      </c>
      <c r="J190" s="33">
        <f>IF(A190="","",Settings!$C$5+SUM($I$5:I190))</f>
        <v/>
      </c>
    </row>
    <row r="191">
      <c r="A191" s="28" t="n"/>
      <c r="B191" s="29" t="n"/>
      <c r="C191" s="29" t="n"/>
      <c r="D191" s="30">
        <f>IF(C191="","",IFERROR(INDEX(Settings!$C$21:$C$34,MATCH(C191,Settings!$B$21:$B$34,0)),"Check category"))</f>
        <v/>
      </c>
      <c r="E191" s="31" t="n"/>
      <c r="F191" s="29" t="n"/>
      <c r="G191" s="29" t="n"/>
      <c r="H191" s="30">
        <f>IF(A191="","",IFERROR(LOOKUP(A191,Settings!$C$14:$C$17,Settings!$B$14:$B$17),"Pre-MS1"))</f>
        <v/>
      </c>
      <c r="I191" s="32">
        <f>IF(OR(A191="",E191=""),0,IF(D191="Expense",-E191,E191))</f>
        <v/>
      </c>
      <c r="J191" s="33">
        <f>IF(A191="","",Settings!$C$5+SUM($I$5:I191))</f>
        <v/>
      </c>
    </row>
    <row r="192">
      <c r="A192" s="28" t="n"/>
      <c r="B192" s="29" t="n"/>
      <c r="C192" s="29" t="n"/>
      <c r="D192" s="30">
        <f>IF(C192="","",IFERROR(INDEX(Settings!$C$21:$C$34,MATCH(C192,Settings!$B$21:$B$34,0)),"Check category"))</f>
        <v/>
      </c>
      <c r="E192" s="31" t="n"/>
      <c r="F192" s="29" t="n"/>
      <c r="G192" s="29" t="n"/>
      <c r="H192" s="30">
        <f>IF(A192="","",IFERROR(LOOKUP(A192,Settings!$C$14:$C$17,Settings!$B$14:$B$17),"Pre-MS1"))</f>
        <v/>
      </c>
      <c r="I192" s="32">
        <f>IF(OR(A192="",E192=""),0,IF(D192="Expense",-E192,E192))</f>
        <v/>
      </c>
      <c r="J192" s="33">
        <f>IF(A192="","",Settings!$C$5+SUM($I$5:I192))</f>
        <v/>
      </c>
    </row>
    <row r="193">
      <c r="A193" s="28" t="n"/>
      <c r="B193" s="29" t="n"/>
      <c r="C193" s="29" t="n"/>
      <c r="D193" s="30">
        <f>IF(C193="","",IFERROR(INDEX(Settings!$C$21:$C$34,MATCH(C193,Settings!$B$21:$B$34,0)),"Check category"))</f>
        <v/>
      </c>
      <c r="E193" s="31" t="n"/>
      <c r="F193" s="29" t="n"/>
      <c r="G193" s="29" t="n"/>
      <c r="H193" s="30">
        <f>IF(A193="","",IFERROR(LOOKUP(A193,Settings!$C$14:$C$17,Settings!$B$14:$B$17),"Pre-MS1"))</f>
        <v/>
      </c>
      <c r="I193" s="32">
        <f>IF(OR(A193="",E193=""),0,IF(D193="Expense",-E193,E193))</f>
        <v/>
      </c>
      <c r="J193" s="33">
        <f>IF(A193="","",Settings!$C$5+SUM($I$5:I193))</f>
        <v/>
      </c>
    </row>
    <row r="194">
      <c r="A194" s="28" t="n"/>
      <c r="B194" s="29" t="n"/>
      <c r="C194" s="29" t="n"/>
      <c r="D194" s="30">
        <f>IF(C194="","",IFERROR(INDEX(Settings!$C$21:$C$34,MATCH(C194,Settings!$B$21:$B$34,0)),"Check category"))</f>
        <v/>
      </c>
      <c r="E194" s="31" t="n"/>
      <c r="F194" s="29" t="n"/>
      <c r="G194" s="29" t="n"/>
      <c r="H194" s="30">
        <f>IF(A194="","",IFERROR(LOOKUP(A194,Settings!$C$14:$C$17,Settings!$B$14:$B$17),"Pre-MS1"))</f>
        <v/>
      </c>
      <c r="I194" s="32">
        <f>IF(OR(A194="",E194=""),0,IF(D194="Expense",-E194,E194))</f>
        <v/>
      </c>
      <c r="J194" s="33">
        <f>IF(A194="","",Settings!$C$5+SUM($I$5:I194))</f>
        <v/>
      </c>
    </row>
    <row r="195">
      <c r="A195" s="28" t="n"/>
      <c r="B195" s="29" t="n"/>
      <c r="C195" s="29" t="n"/>
      <c r="D195" s="30">
        <f>IF(C195="","",IFERROR(INDEX(Settings!$C$21:$C$34,MATCH(C195,Settings!$B$21:$B$34,0)),"Check category"))</f>
        <v/>
      </c>
      <c r="E195" s="31" t="n"/>
      <c r="F195" s="29" t="n"/>
      <c r="G195" s="29" t="n"/>
      <c r="H195" s="30">
        <f>IF(A195="","",IFERROR(LOOKUP(A195,Settings!$C$14:$C$17,Settings!$B$14:$B$17),"Pre-MS1"))</f>
        <v/>
      </c>
      <c r="I195" s="32">
        <f>IF(OR(A195="",E195=""),0,IF(D195="Expense",-E195,E195))</f>
        <v/>
      </c>
      <c r="J195" s="33">
        <f>IF(A195="","",Settings!$C$5+SUM($I$5:I195))</f>
        <v/>
      </c>
    </row>
    <row r="196">
      <c r="A196" s="28" t="n"/>
      <c r="B196" s="29" t="n"/>
      <c r="C196" s="29" t="n"/>
      <c r="D196" s="30">
        <f>IF(C196="","",IFERROR(INDEX(Settings!$C$21:$C$34,MATCH(C196,Settings!$B$21:$B$34,0)),"Check category"))</f>
        <v/>
      </c>
      <c r="E196" s="31" t="n"/>
      <c r="F196" s="29" t="n"/>
      <c r="G196" s="29" t="n"/>
      <c r="H196" s="30">
        <f>IF(A196="","",IFERROR(LOOKUP(A196,Settings!$C$14:$C$17,Settings!$B$14:$B$17),"Pre-MS1"))</f>
        <v/>
      </c>
      <c r="I196" s="32">
        <f>IF(OR(A196="",E196=""),0,IF(D196="Expense",-E196,E196))</f>
        <v/>
      </c>
      <c r="J196" s="33">
        <f>IF(A196="","",Settings!$C$5+SUM($I$5:I196))</f>
        <v/>
      </c>
    </row>
    <row r="197">
      <c r="A197" s="28" t="n"/>
      <c r="B197" s="29" t="n"/>
      <c r="C197" s="29" t="n"/>
      <c r="D197" s="30">
        <f>IF(C197="","",IFERROR(INDEX(Settings!$C$21:$C$34,MATCH(C197,Settings!$B$21:$B$34,0)),"Check category"))</f>
        <v/>
      </c>
      <c r="E197" s="31" t="n"/>
      <c r="F197" s="29" t="n"/>
      <c r="G197" s="29" t="n"/>
      <c r="H197" s="30">
        <f>IF(A197="","",IFERROR(LOOKUP(A197,Settings!$C$14:$C$17,Settings!$B$14:$B$17),"Pre-MS1"))</f>
        <v/>
      </c>
      <c r="I197" s="32">
        <f>IF(OR(A197="",E197=""),0,IF(D197="Expense",-E197,E197))</f>
        <v/>
      </c>
      <c r="J197" s="33">
        <f>IF(A197="","",Settings!$C$5+SUM($I$5:I197))</f>
        <v/>
      </c>
    </row>
    <row r="198">
      <c r="A198" s="28" t="n"/>
      <c r="B198" s="29" t="n"/>
      <c r="C198" s="29" t="n"/>
      <c r="D198" s="30">
        <f>IF(C198="","",IFERROR(INDEX(Settings!$C$21:$C$34,MATCH(C198,Settings!$B$21:$B$34,0)),"Check category"))</f>
        <v/>
      </c>
      <c r="E198" s="31" t="n"/>
      <c r="F198" s="29" t="n"/>
      <c r="G198" s="29" t="n"/>
      <c r="H198" s="30">
        <f>IF(A198="","",IFERROR(LOOKUP(A198,Settings!$C$14:$C$17,Settings!$B$14:$B$17),"Pre-MS1"))</f>
        <v/>
      </c>
      <c r="I198" s="32">
        <f>IF(OR(A198="",E198=""),0,IF(D198="Expense",-E198,E198))</f>
        <v/>
      </c>
      <c r="J198" s="33">
        <f>IF(A198="","",Settings!$C$5+SUM($I$5:I198))</f>
        <v/>
      </c>
    </row>
    <row r="199">
      <c r="A199" s="28" t="n"/>
      <c r="B199" s="29" t="n"/>
      <c r="C199" s="29" t="n"/>
      <c r="D199" s="30">
        <f>IF(C199="","",IFERROR(INDEX(Settings!$C$21:$C$34,MATCH(C199,Settings!$B$21:$B$34,0)),"Check category"))</f>
        <v/>
      </c>
      <c r="E199" s="31" t="n"/>
      <c r="F199" s="29" t="n"/>
      <c r="G199" s="29" t="n"/>
      <c r="H199" s="30">
        <f>IF(A199="","",IFERROR(LOOKUP(A199,Settings!$C$14:$C$17,Settings!$B$14:$B$17),"Pre-MS1"))</f>
        <v/>
      </c>
      <c r="I199" s="32">
        <f>IF(OR(A199="",E199=""),0,IF(D199="Expense",-E199,E199))</f>
        <v/>
      </c>
      <c r="J199" s="33">
        <f>IF(A199="","",Settings!$C$5+SUM($I$5:I199))</f>
        <v/>
      </c>
    </row>
    <row r="200">
      <c r="A200" s="28" t="n"/>
      <c r="B200" s="29" t="n"/>
      <c r="C200" s="29" t="n"/>
      <c r="D200" s="30">
        <f>IF(C200="","",IFERROR(INDEX(Settings!$C$21:$C$34,MATCH(C200,Settings!$B$21:$B$34,0)),"Check category"))</f>
        <v/>
      </c>
      <c r="E200" s="31" t="n"/>
      <c r="F200" s="29" t="n"/>
      <c r="G200" s="29" t="n"/>
      <c r="H200" s="30">
        <f>IF(A200="","",IFERROR(LOOKUP(A200,Settings!$C$14:$C$17,Settings!$B$14:$B$17),"Pre-MS1"))</f>
        <v/>
      </c>
      <c r="I200" s="32">
        <f>IF(OR(A200="",E200=""),0,IF(D200="Expense",-E200,E200))</f>
        <v/>
      </c>
      <c r="J200" s="33">
        <f>IF(A200="","",Settings!$C$5+SUM($I$5:I200))</f>
        <v/>
      </c>
    </row>
    <row r="201">
      <c r="A201" s="28" t="n"/>
      <c r="B201" s="29" t="n"/>
      <c r="C201" s="29" t="n"/>
      <c r="D201" s="30">
        <f>IF(C201="","",IFERROR(INDEX(Settings!$C$21:$C$34,MATCH(C201,Settings!$B$21:$B$34,0)),"Check category"))</f>
        <v/>
      </c>
      <c r="E201" s="31" t="n"/>
      <c r="F201" s="29" t="n"/>
      <c r="G201" s="29" t="n"/>
      <c r="H201" s="30">
        <f>IF(A201="","",IFERROR(LOOKUP(A201,Settings!$C$14:$C$17,Settings!$B$14:$B$17),"Pre-MS1"))</f>
        <v/>
      </c>
      <c r="I201" s="32">
        <f>IF(OR(A201="",E201=""),0,IF(D201="Expense",-E201,E201))</f>
        <v/>
      </c>
      <c r="J201" s="33">
        <f>IF(A201="","",Settings!$C$5+SUM($I$5:I201))</f>
        <v/>
      </c>
    </row>
    <row r="202">
      <c r="A202" s="28" t="n"/>
      <c r="B202" s="29" t="n"/>
      <c r="C202" s="29" t="n"/>
      <c r="D202" s="30">
        <f>IF(C202="","",IFERROR(INDEX(Settings!$C$21:$C$34,MATCH(C202,Settings!$B$21:$B$34,0)),"Check category"))</f>
        <v/>
      </c>
      <c r="E202" s="31" t="n"/>
      <c r="F202" s="29" t="n"/>
      <c r="G202" s="29" t="n"/>
      <c r="H202" s="30">
        <f>IF(A202="","",IFERROR(LOOKUP(A202,Settings!$C$14:$C$17,Settings!$B$14:$B$17),"Pre-MS1"))</f>
        <v/>
      </c>
      <c r="I202" s="32">
        <f>IF(OR(A202="",E202=""),0,IF(D202="Expense",-E202,E202))</f>
        <v/>
      </c>
      <c r="J202" s="33">
        <f>IF(A202="","",Settings!$C$5+SUM($I$5:I202))</f>
        <v/>
      </c>
    </row>
    <row r="203">
      <c r="A203" s="28" t="n"/>
      <c r="B203" s="29" t="n"/>
      <c r="C203" s="29" t="n"/>
      <c r="D203" s="30">
        <f>IF(C203="","",IFERROR(INDEX(Settings!$C$21:$C$34,MATCH(C203,Settings!$B$21:$B$34,0)),"Check category"))</f>
        <v/>
      </c>
      <c r="E203" s="31" t="n"/>
      <c r="F203" s="29" t="n"/>
      <c r="G203" s="29" t="n"/>
      <c r="H203" s="30">
        <f>IF(A203="","",IFERROR(LOOKUP(A203,Settings!$C$14:$C$17,Settings!$B$14:$B$17),"Pre-MS1"))</f>
        <v/>
      </c>
      <c r="I203" s="32">
        <f>IF(OR(A203="",E203=""),0,IF(D203="Expense",-E203,E203))</f>
        <v/>
      </c>
      <c r="J203" s="33">
        <f>IF(A203="","",Settings!$C$5+SUM($I$5:I203))</f>
        <v/>
      </c>
    </row>
    <row r="204">
      <c r="A204" s="28" t="n"/>
      <c r="B204" s="29" t="n"/>
      <c r="C204" s="29" t="n"/>
      <c r="D204" s="30">
        <f>IF(C204="","",IFERROR(INDEX(Settings!$C$21:$C$34,MATCH(C204,Settings!$B$21:$B$34,0)),"Check category"))</f>
        <v/>
      </c>
      <c r="E204" s="31" t="n"/>
      <c r="F204" s="29" t="n"/>
      <c r="G204" s="29" t="n"/>
      <c r="H204" s="30">
        <f>IF(A204="","",IFERROR(LOOKUP(A204,Settings!$C$14:$C$17,Settings!$B$14:$B$17),"Pre-MS1"))</f>
        <v/>
      </c>
      <c r="I204" s="32">
        <f>IF(OR(A204="",E204=""),0,IF(D204="Expense",-E204,E204))</f>
        <v/>
      </c>
      <c r="J204" s="33">
        <f>IF(A204="","",Settings!$C$5+SUM($I$5:I204))</f>
        <v/>
      </c>
    </row>
    <row r="205">
      <c r="A205" s="28" t="n"/>
      <c r="B205" s="29" t="n"/>
      <c r="C205" s="29" t="n"/>
      <c r="D205" s="30">
        <f>IF(C205="","",IFERROR(INDEX(Settings!$C$21:$C$34,MATCH(C205,Settings!$B$21:$B$34,0)),"Check category"))</f>
        <v/>
      </c>
      <c r="E205" s="31" t="n"/>
      <c r="F205" s="29" t="n"/>
      <c r="G205" s="29" t="n"/>
      <c r="H205" s="30">
        <f>IF(A205="","",IFERROR(LOOKUP(A205,Settings!$C$14:$C$17,Settings!$B$14:$B$17),"Pre-MS1"))</f>
        <v/>
      </c>
      <c r="I205" s="32">
        <f>IF(OR(A205="",E205=""),0,IF(D205="Expense",-E205,E205))</f>
        <v/>
      </c>
      <c r="J205" s="33">
        <f>IF(A205="","",Settings!$C$5+SUM($I$5:I205))</f>
        <v/>
      </c>
    </row>
    <row r="206">
      <c r="A206" s="28" t="n"/>
      <c r="B206" s="29" t="n"/>
      <c r="C206" s="29" t="n"/>
      <c r="D206" s="30">
        <f>IF(C206="","",IFERROR(INDEX(Settings!$C$21:$C$34,MATCH(C206,Settings!$B$21:$B$34,0)),"Check category"))</f>
        <v/>
      </c>
      <c r="E206" s="31" t="n"/>
      <c r="F206" s="29" t="n"/>
      <c r="G206" s="29" t="n"/>
      <c r="H206" s="30">
        <f>IF(A206="","",IFERROR(LOOKUP(A206,Settings!$C$14:$C$17,Settings!$B$14:$B$17),"Pre-MS1"))</f>
        <v/>
      </c>
      <c r="I206" s="32">
        <f>IF(OR(A206="",E206=""),0,IF(D206="Expense",-E206,E206))</f>
        <v/>
      </c>
      <c r="J206" s="33">
        <f>IF(A206="","",Settings!$C$5+SUM($I$5:I206))</f>
        <v/>
      </c>
    </row>
    <row r="207">
      <c r="A207" s="28" t="n"/>
      <c r="B207" s="29" t="n"/>
      <c r="C207" s="29" t="n"/>
      <c r="D207" s="30">
        <f>IF(C207="","",IFERROR(INDEX(Settings!$C$21:$C$34,MATCH(C207,Settings!$B$21:$B$34,0)),"Check category"))</f>
        <v/>
      </c>
      <c r="E207" s="31" t="n"/>
      <c r="F207" s="29" t="n"/>
      <c r="G207" s="29" t="n"/>
      <c r="H207" s="30">
        <f>IF(A207="","",IFERROR(LOOKUP(A207,Settings!$C$14:$C$17,Settings!$B$14:$B$17),"Pre-MS1"))</f>
        <v/>
      </c>
      <c r="I207" s="32">
        <f>IF(OR(A207="",E207=""),0,IF(D207="Expense",-E207,E207))</f>
        <v/>
      </c>
      <c r="J207" s="33">
        <f>IF(A207="","",Settings!$C$5+SUM($I$5:I207))</f>
        <v/>
      </c>
    </row>
    <row r="208">
      <c r="A208" s="28" t="n"/>
      <c r="B208" s="29" t="n"/>
      <c r="C208" s="29" t="n"/>
      <c r="D208" s="30">
        <f>IF(C208="","",IFERROR(INDEX(Settings!$C$21:$C$34,MATCH(C208,Settings!$B$21:$B$34,0)),"Check category"))</f>
        <v/>
      </c>
      <c r="E208" s="31" t="n"/>
      <c r="F208" s="29" t="n"/>
      <c r="G208" s="29" t="n"/>
      <c r="H208" s="30">
        <f>IF(A208="","",IFERROR(LOOKUP(A208,Settings!$C$14:$C$17,Settings!$B$14:$B$17),"Pre-MS1"))</f>
        <v/>
      </c>
      <c r="I208" s="32">
        <f>IF(OR(A208="",E208=""),0,IF(D208="Expense",-E208,E208))</f>
        <v/>
      </c>
      <c r="J208" s="33">
        <f>IF(A208="","",Settings!$C$5+SUM($I$5:I208))</f>
        <v/>
      </c>
    </row>
    <row r="209">
      <c r="A209" s="28" t="n"/>
      <c r="B209" s="29" t="n"/>
      <c r="C209" s="29" t="n"/>
      <c r="D209" s="30">
        <f>IF(C209="","",IFERROR(INDEX(Settings!$C$21:$C$34,MATCH(C209,Settings!$B$21:$B$34,0)),"Check category"))</f>
        <v/>
      </c>
      <c r="E209" s="31" t="n"/>
      <c r="F209" s="29" t="n"/>
      <c r="G209" s="29" t="n"/>
      <c r="H209" s="30">
        <f>IF(A209="","",IFERROR(LOOKUP(A209,Settings!$C$14:$C$17,Settings!$B$14:$B$17),"Pre-MS1"))</f>
        <v/>
      </c>
      <c r="I209" s="32">
        <f>IF(OR(A209="",E209=""),0,IF(D209="Expense",-E209,E209))</f>
        <v/>
      </c>
      <c r="J209" s="33">
        <f>IF(A209="","",Settings!$C$5+SUM($I$5:I209))</f>
        <v/>
      </c>
    </row>
    <row r="210">
      <c r="A210" s="28" t="n"/>
      <c r="B210" s="29" t="n"/>
      <c r="C210" s="29" t="n"/>
      <c r="D210" s="30">
        <f>IF(C210="","",IFERROR(INDEX(Settings!$C$21:$C$34,MATCH(C210,Settings!$B$21:$B$34,0)),"Check category"))</f>
        <v/>
      </c>
      <c r="E210" s="31" t="n"/>
      <c r="F210" s="29" t="n"/>
      <c r="G210" s="29" t="n"/>
      <c r="H210" s="30">
        <f>IF(A210="","",IFERROR(LOOKUP(A210,Settings!$C$14:$C$17,Settings!$B$14:$B$17),"Pre-MS1"))</f>
        <v/>
      </c>
      <c r="I210" s="32">
        <f>IF(OR(A210="",E210=""),0,IF(D210="Expense",-E210,E210))</f>
        <v/>
      </c>
      <c r="J210" s="33">
        <f>IF(A210="","",Settings!$C$5+SUM($I$5:I210))</f>
        <v/>
      </c>
    </row>
    <row r="211">
      <c r="A211" s="28" t="n"/>
      <c r="B211" s="29" t="n"/>
      <c r="C211" s="29" t="n"/>
      <c r="D211" s="30">
        <f>IF(C211="","",IFERROR(INDEX(Settings!$C$21:$C$34,MATCH(C211,Settings!$B$21:$B$34,0)),"Check category"))</f>
        <v/>
      </c>
      <c r="E211" s="31" t="n"/>
      <c r="F211" s="29" t="n"/>
      <c r="G211" s="29" t="n"/>
      <c r="H211" s="30">
        <f>IF(A211="","",IFERROR(LOOKUP(A211,Settings!$C$14:$C$17,Settings!$B$14:$B$17),"Pre-MS1"))</f>
        <v/>
      </c>
      <c r="I211" s="32">
        <f>IF(OR(A211="",E211=""),0,IF(D211="Expense",-E211,E211))</f>
        <v/>
      </c>
      <c r="J211" s="33">
        <f>IF(A211="","",Settings!$C$5+SUM($I$5:I211))</f>
        <v/>
      </c>
    </row>
    <row r="212">
      <c r="A212" s="28" t="n"/>
      <c r="B212" s="29" t="n"/>
      <c r="C212" s="29" t="n"/>
      <c r="D212" s="30">
        <f>IF(C212="","",IFERROR(INDEX(Settings!$C$21:$C$34,MATCH(C212,Settings!$B$21:$B$34,0)),"Check category"))</f>
        <v/>
      </c>
      <c r="E212" s="31" t="n"/>
      <c r="F212" s="29" t="n"/>
      <c r="G212" s="29" t="n"/>
      <c r="H212" s="30">
        <f>IF(A212="","",IFERROR(LOOKUP(A212,Settings!$C$14:$C$17,Settings!$B$14:$B$17),"Pre-MS1"))</f>
        <v/>
      </c>
      <c r="I212" s="32">
        <f>IF(OR(A212="",E212=""),0,IF(D212="Expense",-E212,E212))</f>
        <v/>
      </c>
      <c r="J212" s="33">
        <f>IF(A212="","",Settings!$C$5+SUM($I$5:I212))</f>
        <v/>
      </c>
    </row>
    <row r="213">
      <c r="A213" s="28" t="n"/>
      <c r="B213" s="29" t="n"/>
      <c r="C213" s="29" t="n"/>
      <c r="D213" s="30">
        <f>IF(C213="","",IFERROR(INDEX(Settings!$C$21:$C$34,MATCH(C213,Settings!$B$21:$B$34,0)),"Check category"))</f>
        <v/>
      </c>
      <c r="E213" s="31" t="n"/>
      <c r="F213" s="29" t="n"/>
      <c r="G213" s="29" t="n"/>
      <c r="H213" s="30">
        <f>IF(A213="","",IFERROR(LOOKUP(A213,Settings!$C$14:$C$17,Settings!$B$14:$B$17),"Pre-MS1"))</f>
        <v/>
      </c>
      <c r="I213" s="32">
        <f>IF(OR(A213="",E213=""),0,IF(D213="Expense",-E213,E213))</f>
        <v/>
      </c>
      <c r="J213" s="33">
        <f>IF(A213="","",Settings!$C$5+SUM($I$5:I213))</f>
        <v/>
      </c>
    </row>
    <row r="214">
      <c r="A214" s="28" t="n"/>
      <c r="B214" s="29" t="n"/>
      <c r="C214" s="29" t="n"/>
      <c r="D214" s="30">
        <f>IF(C214="","",IFERROR(INDEX(Settings!$C$21:$C$34,MATCH(C214,Settings!$B$21:$B$34,0)),"Check category"))</f>
        <v/>
      </c>
      <c r="E214" s="31" t="n"/>
      <c r="F214" s="29" t="n"/>
      <c r="G214" s="29" t="n"/>
      <c r="H214" s="30">
        <f>IF(A214="","",IFERROR(LOOKUP(A214,Settings!$C$14:$C$17,Settings!$B$14:$B$17),"Pre-MS1"))</f>
        <v/>
      </c>
      <c r="I214" s="32">
        <f>IF(OR(A214="",E214=""),0,IF(D214="Expense",-E214,E214))</f>
        <v/>
      </c>
      <c r="J214" s="33">
        <f>IF(A214="","",Settings!$C$5+SUM($I$5:I214))</f>
        <v/>
      </c>
    </row>
    <row r="215">
      <c r="A215" s="28" t="n"/>
      <c r="B215" s="29" t="n"/>
      <c r="C215" s="29" t="n"/>
      <c r="D215" s="30">
        <f>IF(C215="","",IFERROR(INDEX(Settings!$C$21:$C$34,MATCH(C215,Settings!$B$21:$B$34,0)),"Check category"))</f>
        <v/>
      </c>
      <c r="E215" s="31" t="n"/>
      <c r="F215" s="29" t="n"/>
      <c r="G215" s="29" t="n"/>
      <c r="H215" s="30">
        <f>IF(A215="","",IFERROR(LOOKUP(A215,Settings!$C$14:$C$17,Settings!$B$14:$B$17),"Pre-MS1"))</f>
        <v/>
      </c>
      <c r="I215" s="32">
        <f>IF(OR(A215="",E215=""),0,IF(D215="Expense",-E215,E215))</f>
        <v/>
      </c>
      <c r="J215" s="33">
        <f>IF(A215="","",Settings!$C$5+SUM($I$5:I215))</f>
        <v/>
      </c>
    </row>
    <row r="216">
      <c r="A216" s="28" t="n"/>
      <c r="B216" s="29" t="n"/>
      <c r="C216" s="29" t="n"/>
      <c r="D216" s="30">
        <f>IF(C216="","",IFERROR(INDEX(Settings!$C$21:$C$34,MATCH(C216,Settings!$B$21:$B$34,0)),"Check category"))</f>
        <v/>
      </c>
      <c r="E216" s="31" t="n"/>
      <c r="F216" s="29" t="n"/>
      <c r="G216" s="29" t="n"/>
      <c r="H216" s="30">
        <f>IF(A216="","",IFERROR(LOOKUP(A216,Settings!$C$14:$C$17,Settings!$B$14:$B$17),"Pre-MS1"))</f>
        <v/>
      </c>
      <c r="I216" s="32">
        <f>IF(OR(A216="",E216=""),0,IF(D216="Expense",-E216,E216))</f>
        <v/>
      </c>
      <c r="J216" s="33">
        <f>IF(A216="","",Settings!$C$5+SUM($I$5:I216))</f>
        <v/>
      </c>
    </row>
    <row r="217">
      <c r="A217" s="28" t="n"/>
      <c r="B217" s="29" t="n"/>
      <c r="C217" s="29" t="n"/>
      <c r="D217" s="30">
        <f>IF(C217="","",IFERROR(INDEX(Settings!$C$21:$C$34,MATCH(C217,Settings!$B$21:$B$34,0)),"Check category"))</f>
        <v/>
      </c>
      <c r="E217" s="31" t="n"/>
      <c r="F217" s="29" t="n"/>
      <c r="G217" s="29" t="n"/>
      <c r="H217" s="30">
        <f>IF(A217="","",IFERROR(LOOKUP(A217,Settings!$C$14:$C$17,Settings!$B$14:$B$17),"Pre-MS1"))</f>
        <v/>
      </c>
      <c r="I217" s="32">
        <f>IF(OR(A217="",E217=""),0,IF(D217="Expense",-E217,E217))</f>
        <v/>
      </c>
      <c r="J217" s="33">
        <f>IF(A217="","",Settings!$C$5+SUM($I$5:I217))</f>
        <v/>
      </c>
    </row>
    <row r="218">
      <c r="A218" s="28" t="n"/>
      <c r="B218" s="29" t="n"/>
      <c r="C218" s="29" t="n"/>
      <c r="D218" s="30">
        <f>IF(C218="","",IFERROR(INDEX(Settings!$C$21:$C$34,MATCH(C218,Settings!$B$21:$B$34,0)),"Check category"))</f>
        <v/>
      </c>
      <c r="E218" s="31" t="n"/>
      <c r="F218" s="29" t="n"/>
      <c r="G218" s="29" t="n"/>
      <c r="H218" s="30">
        <f>IF(A218="","",IFERROR(LOOKUP(A218,Settings!$C$14:$C$17,Settings!$B$14:$B$17),"Pre-MS1"))</f>
        <v/>
      </c>
      <c r="I218" s="32">
        <f>IF(OR(A218="",E218=""),0,IF(D218="Expense",-E218,E218))</f>
        <v/>
      </c>
      <c r="J218" s="33">
        <f>IF(A218="","",Settings!$C$5+SUM($I$5:I218))</f>
        <v/>
      </c>
    </row>
    <row r="219">
      <c r="A219" s="28" t="n"/>
      <c r="B219" s="29" t="n"/>
      <c r="C219" s="29" t="n"/>
      <c r="D219" s="30">
        <f>IF(C219="","",IFERROR(INDEX(Settings!$C$21:$C$34,MATCH(C219,Settings!$B$21:$B$34,0)),"Check category"))</f>
        <v/>
      </c>
      <c r="E219" s="31" t="n"/>
      <c r="F219" s="29" t="n"/>
      <c r="G219" s="29" t="n"/>
      <c r="H219" s="30">
        <f>IF(A219="","",IFERROR(LOOKUP(A219,Settings!$C$14:$C$17,Settings!$B$14:$B$17),"Pre-MS1"))</f>
        <v/>
      </c>
      <c r="I219" s="32">
        <f>IF(OR(A219="",E219=""),0,IF(D219="Expense",-E219,E219))</f>
        <v/>
      </c>
      <c r="J219" s="33">
        <f>IF(A219="","",Settings!$C$5+SUM($I$5:I219))</f>
        <v/>
      </c>
    </row>
    <row r="220">
      <c r="A220" s="28" t="n"/>
      <c r="B220" s="29" t="n"/>
      <c r="C220" s="29" t="n"/>
      <c r="D220" s="30">
        <f>IF(C220="","",IFERROR(INDEX(Settings!$C$21:$C$34,MATCH(C220,Settings!$B$21:$B$34,0)),"Check category"))</f>
        <v/>
      </c>
      <c r="E220" s="31" t="n"/>
      <c r="F220" s="29" t="n"/>
      <c r="G220" s="29" t="n"/>
      <c r="H220" s="30">
        <f>IF(A220="","",IFERROR(LOOKUP(A220,Settings!$C$14:$C$17,Settings!$B$14:$B$17),"Pre-MS1"))</f>
        <v/>
      </c>
      <c r="I220" s="32">
        <f>IF(OR(A220="",E220=""),0,IF(D220="Expense",-E220,E220))</f>
        <v/>
      </c>
      <c r="J220" s="33">
        <f>IF(A220="","",Settings!$C$5+SUM($I$5:I220))</f>
        <v/>
      </c>
    </row>
    <row r="221">
      <c r="A221" s="28" t="n"/>
      <c r="B221" s="29" t="n"/>
      <c r="C221" s="29" t="n"/>
      <c r="D221" s="30">
        <f>IF(C221="","",IFERROR(INDEX(Settings!$C$21:$C$34,MATCH(C221,Settings!$B$21:$B$34,0)),"Check category"))</f>
        <v/>
      </c>
      <c r="E221" s="31" t="n"/>
      <c r="F221" s="29" t="n"/>
      <c r="G221" s="29" t="n"/>
      <c r="H221" s="30">
        <f>IF(A221="","",IFERROR(LOOKUP(A221,Settings!$C$14:$C$17,Settings!$B$14:$B$17),"Pre-MS1"))</f>
        <v/>
      </c>
      <c r="I221" s="32">
        <f>IF(OR(A221="",E221=""),0,IF(D221="Expense",-E221,E221))</f>
        <v/>
      </c>
      <c r="J221" s="33">
        <f>IF(A221="","",Settings!$C$5+SUM($I$5:I221))</f>
        <v/>
      </c>
    </row>
    <row r="222">
      <c r="A222" s="28" t="n"/>
      <c r="B222" s="29" t="n"/>
      <c r="C222" s="29" t="n"/>
      <c r="D222" s="30">
        <f>IF(C222="","",IFERROR(INDEX(Settings!$C$21:$C$34,MATCH(C222,Settings!$B$21:$B$34,0)),"Check category"))</f>
        <v/>
      </c>
      <c r="E222" s="31" t="n"/>
      <c r="F222" s="29" t="n"/>
      <c r="G222" s="29" t="n"/>
      <c r="H222" s="30">
        <f>IF(A222="","",IFERROR(LOOKUP(A222,Settings!$C$14:$C$17,Settings!$B$14:$B$17),"Pre-MS1"))</f>
        <v/>
      </c>
      <c r="I222" s="32">
        <f>IF(OR(A222="",E222=""),0,IF(D222="Expense",-E222,E222))</f>
        <v/>
      </c>
      <c r="J222" s="33">
        <f>IF(A222="","",Settings!$C$5+SUM($I$5:I222))</f>
        <v/>
      </c>
    </row>
    <row r="223">
      <c r="A223" s="28" t="n"/>
      <c r="B223" s="29" t="n"/>
      <c r="C223" s="29" t="n"/>
      <c r="D223" s="30">
        <f>IF(C223="","",IFERROR(INDEX(Settings!$C$21:$C$34,MATCH(C223,Settings!$B$21:$B$34,0)),"Check category"))</f>
        <v/>
      </c>
      <c r="E223" s="31" t="n"/>
      <c r="F223" s="29" t="n"/>
      <c r="G223" s="29" t="n"/>
      <c r="H223" s="30">
        <f>IF(A223="","",IFERROR(LOOKUP(A223,Settings!$C$14:$C$17,Settings!$B$14:$B$17),"Pre-MS1"))</f>
        <v/>
      </c>
      <c r="I223" s="32">
        <f>IF(OR(A223="",E223=""),0,IF(D223="Expense",-E223,E223))</f>
        <v/>
      </c>
      <c r="J223" s="33">
        <f>IF(A223="","",Settings!$C$5+SUM($I$5:I223))</f>
        <v/>
      </c>
    </row>
    <row r="224">
      <c r="A224" s="28" t="n"/>
      <c r="B224" s="29" t="n"/>
      <c r="C224" s="29" t="n"/>
      <c r="D224" s="30">
        <f>IF(C224="","",IFERROR(INDEX(Settings!$C$21:$C$34,MATCH(C224,Settings!$B$21:$B$34,0)),"Check category"))</f>
        <v/>
      </c>
      <c r="E224" s="31" t="n"/>
      <c r="F224" s="29" t="n"/>
      <c r="G224" s="29" t="n"/>
      <c r="H224" s="30">
        <f>IF(A224="","",IFERROR(LOOKUP(A224,Settings!$C$14:$C$17,Settings!$B$14:$B$17),"Pre-MS1"))</f>
        <v/>
      </c>
      <c r="I224" s="32">
        <f>IF(OR(A224="",E224=""),0,IF(D224="Expense",-E224,E224))</f>
        <v/>
      </c>
      <c r="J224" s="33">
        <f>IF(A224="","",Settings!$C$5+SUM($I$5:I224))</f>
        <v/>
      </c>
    </row>
    <row r="225">
      <c r="A225" s="28" t="n"/>
      <c r="B225" s="29" t="n"/>
      <c r="C225" s="29" t="n"/>
      <c r="D225" s="30">
        <f>IF(C225="","",IFERROR(INDEX(Settings!$C$21:$C$34,MATCH(C225,Settings!$B$21:$B$34,0)),"Check category"))</f>
        <v/>
      </c>
      <c r="E225" s="31" t="n"/>
      <c r="F225" s="29" t="n"/>
      <c r="G225" s="29" t="n"/>
      <c r="H225" s="30">
        <f>IF(A225="","",IFERROR(LOOKUP(A225,Settings!$C$14:$C$17,Settings!$B$14:$B$17),"Pre-MS1"))</f>
        <v/>
      </c>
      <c r="I225" s="32">
        <f>IF(OR(A225="",E225=""),0,IF(D225="Expense",-E225,E225))</f>
        <v/>
      </c>
      <c r="J225" s="33">
        <f>IF(A225="","",Settings!$C$5+SUM($I$5:I225))</f>
        <v/>
      </c>
    </row>
    <row r="226">
      <c r="A226" s="28" t="n"/>
      <c r="B226" s="29" t="n"/>
      <c r="C226" s="29" t="n"/>
      <c r="D226" s="30">
        <f>IF(C226="","",IFERROR(INDEX(Settings!$C$21:$C$34,MATCH(C226,Settings!$B$21:$B$34,0)),"Check category"))</f>
        <v/>
      </c>
      <c r="E226" s="31" t="n"/>
      <c r="F226" s="29" t="n"/>
      <c r="G226" s="29" t="n"/>
      <c r="H226" s="30">
        <f>IF(A226="","",IFERROR(LOOKUP(A226,Settings!$C$14:$C$17,Settings!$B$14:$B$17),"Pre-MS1"))</f>
        <v/>
      </c>
      <c r="I226" s="32">
        <f>IF(OR(A226="",E226=""),0,IF(D226="Expense",-E226,E226))</f>
        <v/>
      </c>
      <c r="J226" s="33">
        <f>IF(A226="","",Settings!$C$5+SUM($I$5:I226))</f>
        <v/>
      </c>
    </row>
    <row r="227">
      <c r="A227" s="28" t="n"/>
      <c r="B227" s="29" t="n"/>
      <c r="C227" s="29" t="n"/>
      <c r="D227" s="30">
        <f>IF(C227="","",IFERROR(INDEX(Settings!$C$21:$C$34,MATCH(C227,Settings!$B$21:$B$34,0)),"Check category"))</f>
        <v/>
      </c>
      <c r="E227" s="31" t="n"/>
      <c r="F227" s="29" t="n"/>
      <c r="G227" s="29" t="n"/>
      <c r="H227" s="30">
        <f>IF(A227="","",IFERROR(LOOKUP(A227,Settings!$C$14:$C$17,Settings!$B$14:$B$17),"Pre-MS1"))</f>
        <v/>
      </c>
      <c r="I227" s="32">
        <f>IF(OR(A227="",E227=""),0,IF(D227="Expense",-E227,E227))</f>
        <v/>
      </c>
      <c r="J227" s="33">
        <f>IF(A227="","",Settings!$C$5+SUM($I$5:I227))</f>
        <v/>
      </c>
    </row>
    <row r="228">
      <c r="A228" s="28" t="n"/>
      <c r="B228" s="29" t="n"/>
      <c r="C228" s="29" t="n"/>
      <c r="D228" s="30">
        <f>IF(C228="","",IFERROR(INDEX(Settings!$C$21:$C$34,MATCH(C228,Settings!$B$21:$B$34,0)),"Check category"))</f>
        <v/>
      </c>
      <c r="E228" s="31" t="n"/>
      <c r="F228" s="29" t="n"/>
      <c r="G228" s="29" t="n"/>
      <c r="H228" s="30">
        <f>IF(A228="","",IFERROR(LOOKUP(A228,Settings!$C$14:$C$17,Settings!$B$14:$B$17),"Pre-MS1"))</f>
        <v/>
      </c>
      <c r="I228" s="32">
        <f>IF(OR(A228="",E228=""),0,IF(D228="Expense",-E228,E228))</f>
        <v/>
      </c>
      <c r="J228" s="33">
        <f>IF(A228="","",Settings!$C$5+SUM($I$5:I228))</f>
        <v/>
      </c>
    </row>
    <row r="229">
      <c r="A229" s="28" t="n"/>
      <c r="B229" s="29" t="n"/>
      <c r="C229" s="29" t="n"/>
      <c r="D229" s="30">
        <f>IF(C229="","",IFERROR(INDEX(Settings!$C$21:$C$34,MATCH(C229,Settings!$B$21:$B$34,0)),"Check category"))</f>
        <v/>
      </c>
      <c r="E229" s="31" t="n"/>
      <c r="F229" s="29" t="n"/>
      <c r="G229" s="29" t="n"/>
      <c r="H229" s="30">
        <f>IF(A229="","",IFERROR(LOOKUP(A229,Settings!$C$14:$C$17,Settings!$B$14:$B$17),"Pre-MS1"))</f>
        <v/>
      </c>
      <c r="I229" s="32">
        <f>IF(OR(A229="",E229=""),0,IF(D229="Expense",-E229,E229))</f>
        <v/>
      </c>
      <c r="J229" s="33">
        <f>IF(A229="","",Settings!$C$5+SUM($I$5:I229))</f>
        <v/>
      </c>
    </row>
    <row r="230">
      <c r="A230" s="28" t="n"/>
      <c r="B230" s="29" t="n"/>
      <c r="C230" s="29" t="n"/>
      <c r="D230" s="30">
        <f>IF(C230="","",IFERROR(INDEX(Settings!$C$21:$C$34,MATCH(C230,Settings!$B$21:$B$34,0)),"Check category"))</f>
        <v/>
      </c>
      <c r="E230" s="31" t="n"/>
      <c r="F230" s="29" t="n"/>
      <c r="G230" s="29" t="n"/>
      <c r="H230" s="30">
        <f>IF(A230="","",IFERROR(LOOKUP(A230,Settings!$C$14:$C$17,Settings!$B$14:$B$17),"Pre-MS1"))</f>
        <v/>
      </c>
      <c r="I230" s="32">
        <f>IF(OR(A230="",E230=""),0,IF(D230="Expense",-E230,E230))</f>
        <v/>
      </c>
      <c r="J230" s="33">
        <f>IF(A230="","",Settings!$C$5+SUM($I$5:I230))</f>
        <v/>
      </c>
    </row>
    <row r="231">
      <c r="A231" s="28" t="n"/>
      <c r="B231" s="29" t="n"/>
      <c r="C231" s="29" t="n"/>
      <c r="D231" s="30">
        <f>IF(C231="","",IFERROR(INDEX(Settings!$C$21:$C$34,MATCH(C231,Settings!$B$21:$B$34,0)),"Check category"))</f>
        <v/>
      </c>
      <c r="E231" s="31" t="n"/>
      <c r="F231" s="29" t="n"/>
      <c r="G231" s="29" t="n"/>
      <c r="H231" s="30">
        <f>IF(A231="","",IFERROR(LOOKUP(A231,Settings!$C$14:$C$17,Settings!$B$14:$B$17),"Pre-MS1"))</f>
        <v/>
      </c>
      <c r="I231" s="32">
        <f>IF(OR(A231="",E231=""),0,IF(D231="Expense",-E231,E231))</f>
        <v/>
      </c>
      <c r="J231" s="33">
        <f>IF(A231="","",Settings!$C$5+SUM($I$5:I231))</f>
        <v/>
      </c>
    </row>
    <row r="232">
      <c r="A232" s="28" t="n"/>
      <c r="B232" s="29" t="n"/>
      <c r="C232" s="29" t="n"/>
      <c r="D232" s="30">
        <f>IF(C232="","",IFERROR(INDEX(Settings!$C$21:$C$34,MATCH(C232,Settings!$B$21:$B$34,0)),"Check category"))</f>
        <v/>
      </c>
      <c r="E232" s="31" t="n"/>
      <c r="F232" s="29" t="n"/>
      <c r="G232" s="29" t="n"/>
      <c r="H232" s="30">
        <f>IF(A232="","",IFERROR(LOOKUP(A232,Settings!$C$14:$C$17,Settings!$B$14:$B$17),"Pre-MS1"))</f>
        <v/>
      </c>
      <c r="I232" s="32">
        <f>IF(OR(A232="",E232=""),0,IF(D232="Expense",-E232,E232))</f>
        <v/>
      </c>
      <c r="J232" s="33">
        <f>IF(A232="","",Settings!$C$5+SUM($I$5:I232))</f>
        <v/>
      </c>
    </row>
    <row r="233">
      <c r="A233" s="28" t="n"/>
      <c r="B233" s="29" t="n"/>
      <c r="C233" s="29" t="n"/>
      <c r="D233" s="30">
        <f>IF(C233="","",IFERROR(INDEX(Settings!$C$21:$C$34,MATCH(C233,Settings!$B$21:$B$34,0)),"Check category"))</f>
        <v/>
      </c>
      <c r="E233" s="31" t="n"/>
      <c r="F233" s="29" t="n"/>
      <c r="G233" s="29" t="n"/>
      <c r="H233" s="30">
        <f>IF(A233="","",IFERROR(LOOKUP(A233,Settings!$C$14:$C$17,Settings!$B$14:$B$17),"Pre-MS1"))</f>
        <v/>
      </c>
      <c r="I233" s="32">
        <f>IF(OR(A233="",E233=""),0,IF(D233="Expense",-E233,E233))</f>
        <v/>
      </c>
      <c r="J233" s="33">
        <f>IF(A233="","",Settings!$C$5+SUM($I$5:I233))</f>
        <v/>
      </c>
    </row>
    <row r="234">
      <c r="A234" s="28" t="n"/>
      <c r="B234" s="29" t="n"/>
      <c r="C234" s="29" t="n"/>
      <c r="D234" s="30">
        <f>IF(C234="","",IFERROR(INDEX(Settings!$C$21:$C$34,MATCH(C234,Settings!$B$21:$B$34,0)),"Check category"))</f>
        <v/>
      </c>
      <c r="E234" s="31" t="n"/>
      <c r="F234" s="29" t="n"/>
      <c r="G234" s="29" t="n"/>
      <c r="H234" s="30">
        <f>IF(A234="","",IFERROR(LOOKUP(A234,Settings!$C$14:$C$17,Settings!$B$14:$B$17),"Pre-MS1"))</f>
        <v/>
      </c>
      <c r="I234" s="32">
        <f>IF(OR(A234="",E234=""),0,IF(D234="Expense",-E234,E234))</f>
        <v/>
      </c>
      <c r="J234" s="33">
        <f>IF(A234="","",Settings!$C$5+SUM($I$5:I234))</f>
        <v/>
      </c>
    </row>
    <row r="235">
      <c r="A235" s="28" t="n"/>
      <c r="B235" s="29" t="n"/>
      <c r="C235" s="29" t="n"/>
      <c r="D235" s="30">
        <f>IF(C235="","",IFERROR(INDEX(Settings!$C$21:$C$34,MATCH(C235,Settings!$B$21:$B$34,0)),"Check category"))</f>
        <v/>
      </c>
      <c r="E235" s="31" t="n"/>
      <c r="F235" s="29" t="n"/>
      <c r="G235" s="29" t="n"/>
      <c r="H235" s="30">
        <f>IF(A235="","",IFERROR(LOOKUP(A235,Settings!$C$14:$C$17,Settings!$B$14:$B$17),"Pre-MS1"))</f>
        <v/>
      </c>
      <c r="I235" s="32">
        <f>IF(OR(A235="",E235=""),0,IF(D235="Expense",-E235,E235))</f>
        <v/>
      </c>
      <c r="J235" s="33">
        <f>IF(A235="","",Settings!$C$5+SUM($I$5:I235))</f>
        <v/>
      </c>
    </row>
    <row r="236">
      <c r="A236" s="28" t="n"/>
      <c r="B236" s="29" t="n"/>
      <c r="C236" s="29" t="n"/>
      <c r="D236" s="30">
        <f>IF(C236="","",IFERROR(INDEX(Settings!$C$21:$C$34,MATCH(C236,Settings!$B$21:$B$34,0)),"Check category"))</f>
        <v/>
      </c>
      <c r="E236" s="31" t="n"/>
      <c r="F236" s="29" t="n"/>
      <c r="G236" s="29" t="n"/>
      <c r="H236" s="30">
        <f>IF(A236="","",IFERROR(LOOKUP(A236,Settings!$C$14:$C$17,Settings!$B$14:$B$17),"Pre-MS1"))</f>
        <v/>
      </c>
      <c r="I236" s="32">
        <f>IF(OR(A236="",E236=""),0,IF(D236="Expense",-E236,E236))</f>
        <v/>
      </c>
      <c r="J236" s="33">
        <f>IF(A236="","",Settings!$C$5+SUM($I$5:I236))</f>
        <v/>
      </c>
    </row>
    <row r="237">
      <c r="A237" s="28" t="n"/>
      <c r="B237" s="29" t="n"/>
      <c r="C237" s="29" t="n"/>
      <c r="D237" s="30">
        <f>IF(C237="","",IFERROR(INDEX(Settings!$C$21:$C$34,MATCH(C237,Settings!$B$21:$B$34,0)),"Check category"))</f>
        <v/>
      </c>
      <c r="E237" s="31" t="n"/>
      <c r="F237" s="29" t="n"/>
      <c r="G237" s="29" t="n"/>
      <c r="H237" s="30">
        <f>IF(A237="","",IFERROR(LOOKUP(A237,Settings!$C$14:$C$17,Settings!$B$14:$B$17),"Pre-MS1"))</f>
        <v/>
      </c>
      <c r="I237" s="32">
        <f>IF(OR(A237="",E237=""),0,IF(D237="Expense",-E237,E237))</f>
        <v/>
      </c>
      <c r="J237" s="33">
        <f>IF(A237="","",Settings!$C$5+SUM($I$5:I237))</f>
        <v/>
      </c>
    </row>
    <row r="238">
      <c r="A238" s="28" t="n"/>
      <c r="B238" s="29" t="n"/>
      <c r="C238" s="29" t="n"/>
      <c r="D238" s="30">
        <f>IF(C238="","",IFERROR(INDEX(Settings!$C$21:$C$34,MATCH(C238,Settings!$B$21:$B$34,0)),"Check category"))</f>
        <v/>
      </c>
      <c r="E238" s="31" t="n"/>
      <c r="F238" s="29" t="n"/>
      <c r="G238" s="29" t="n"/>
      <c r="H238" s="30">
        <f>IF(A238="","",IFERROR(LOOKUP(A238,Settings!$C$14:$C$17,Settings!$B$14:$B$17),"Pre-MS1"))</f>
        <v/>
      </c>
      <c r="I238" s="32">
        <f>IF(OR(A238="",E238=""),0,IF(D238="Expense",-E238,E238))</f>
        <v/>
      </c>
      <c r="J238" s="33">
        <f>IF(A238="","",Settings!$C$5+SUM($I$5:I238))</f>
        <v/>
      </c>
    </row>
    <row r="239">
      <c r="A239" s="28" t="n"/>
      <c r="B239" s="29" t="n"/>
      <c r="C239" s="29" t="n"/>
      <c r="D239" s="30">
        <f>IF(C239="","",IFERROR(INDEX(Settings!$C$21:$C$34,MATCH(C239,Settings!$B$21:$B$34,0)),"Check category"))</f>
        <v/>
      </c>
      <c r="E239" s="31" t="n"/>
      <c r="F239" s="29" t="n"/>
      <c r="G239" s="29" t="n"/>
      <c r="H239" s="30">
        <f>IF(A239="","",IFERROR(LOOKUP(A239,Settings!$C$14:$C$17,Settings!$B$14:$B$17),"Pre-MS1"))</f>
        <v/>
      </c>
      <c r="I239" s="32">
        <f>IF(OR(A239="",E239=""),0,IF(D239="Expense",-E239,E239))</f>
        <v/>
      </c>
      <c r="J239" s="33">
        <f>IF(A239="","",Settings!$C$5+SUM($I$5:I239))</f>
        <v/>
      </c>
    </row>
    <row r="240">
      <c r="A240" s="28" t="n"/>
      <c r="B240" s="29" t="n"/>
      <c r="C240" s="29" t="n"/>
      <c r="D240" s="30">
        <f>IF(C240="","",IFERROR(INDEX(Settings!$C$21:$C$34,MATCH(C240,Settings!$B$21:$B$34,0)),"Check category"))</f>
        <v/>
      </c>
      <c r="E240" s="31" t="n"/>
      <c r="F240" s="29" t="n"/>
      <c r="G240" s="29" t="n"/>
      <c r="H240" s="30">
        <f>IF(A240="","",IFERROR(LOOKUP(A240,Settings!$C$14:$C$17,Settings!$B$14:$B$17),"Pre-MS1"))</f>
        <v/>
      </c>
      <c r="I240" s="32">
        <f>IF(OR(A240="",E240=""),0,IF(D240="Expense",-E240,E240))</f>
        <v/>
      </c>
      <c r="J240" s="33">
        <f>IF(A240="","",Settings!$C$5+SUM($I$5:I240))</f>
        <v/>
      </c>
    </row>
    <row r="241">
      <c r="A241" s="28" t="n"/>
      <c r="B241" s="29" t="n"/>
      <c r="C241" s="29" t="n"/>
      <c r="D241" s="30">
        <f>IF(C241="","",IFERROR(INDEX(Settings!$C$21:$C$34,MATCH(C241,Settings!$B$21:$B$34,0)),"Check category"))</f>
        <v/>
      </c>
      <c r="E241" s="31" t="n"/>
      <c r="F241" s="29" t="n"/>
      <c r="G241" s="29" t="n"/>
      <c r="H241" s="30">
        <f>IF(A241="","",IFERROR(LOOKUP(A241,Settings!$C$14:$C$17,Settings!$B$14:$B$17),"Pre-MS1"))</f>
        <v/>
      </c>
      <c r="I241" s="32">
        <f>IF(OR(A241="",E241=""),0,IF(D241="Expense",-E241,E241))</f>
        <v/>
      </c>
      <c r="J241" s="33">
        <f>IF(A241="","",Settings!$C$5+SUM($I$5:I241))</f>
        <v/>
      </c>
    </row>
    <row r="242">
      <c r="A242" s="28" t="n"/>
      <c r="B242" s="29" t="n"/>
      <c r="C242" s="29" t="n"/>
      <c r="D242" s="30">
        <f>IF(C242="","",IFERROR(INDEX(Settings!$C$21:$C$34,MATCH(C242,Settings!$B$21:$B$34,0)),"Check category"))</f>
        <v/>
      </c>
      <c r="E242" s="31" t="n"/>
      <c r="F242" s="29" t="n"/>
      <c r="G242" s="29" t="n"/>
      <c r="H242" s="30">
        <f>IF(A242="","",IFERROR(LOOKUP(A242,Settings!$C$14:$C$17,Settings!$B$14:$B$17),"Pre-MS1"))</f>
        <v/>
      </c>
      <c r="I242" s="32">
        <f>IF(OR(A242="",E242=""),0,IF(D242="Expense",-E242,E242))</f>
        <v/>
      </c>
      <c r="J242" s="33">
        <f>IF(A242="","",Settings!$C$5+SUM($I$5:I242))</f>
        <v/>
      </c>
    </row>
    <row r="243">
      <c r="A243" s="28" t="n"/>
      <c r="B243" s="29" t="n"/>
      <c r="C243" s="29" t="n"/>
      <c r="D243" s="30">
        <f>IF(C243="","",IFERROR(INDEX(Settings!$C$21:$C$34,MATCH(C243,Settings!$B$21:$B$34,0)),"Check category"))</f>
        <v/>
      </c>
      <c r="E243" s="31" t="n"/>
      <c r="F243" s="29" t="n"/>
      <c r="G243" s="29" t="n"/>
      <c r="H243" s="30">
        <f>IF(A243="","",IFERROR(LOOKUP(A243,Settings!$C$14:$C$17,Settings!$B$14:$B$17),"Pre-MS1"))</f>
        <v/>
      </c>
      <c r="I243" s="32">
        <f>IF(OR(A243="",E243=""),0,IF(D243="Expense",-E243,E243))</f>
        <v/>
      </c>
      <c r="J243" s="33">
        <f>IF(A243="","",Settings!$C$5+SUM($I$5:I243))</f>
        <v/>
      </c>
    </row>
    <row r="244">
      <c r="A244" s="28" t="n"/>
      <c r="B244" s="29" t="n"/>
      <c r="C244" s="29" t="n"/>
      <c r="D244" s="30">
        <f>IF(C244="","",IFERROR(INDEX(Settings!$C$21:$C$34,MATCH(C244,Settings!$B$21:$B$34,0)),"Check category"))</f>
        <v/>
      </c>
      <c r="E244" s="31" t="n"/>
      <c r="F244" s="29" t="n"/>
      <c r="G244" s="29" t="n"/>
      <c r="H244" s="30">
        <f>IF(A244="","",IFERROR(LOOKUP(A244,Settings!$C$14:$C$17,Settings!$B$14:$B$17),"Pre-MS1"))</f>
        <v/>
      </c>
      <c r="I244" s="32">
        <f>IF(OR(A244="",E244=""),0,IF(D244="Expense",-E244,E244))</f>
        <v/>
      </c>
      <c r="J244" s="33">
        <f>IF(A244="","",Settings!$C$5+SUM($I$5:I244))</f>
        <v/>
      </c>
    </row>
    <row r="245">
      <c r="A245" s="28" t="n"/>
      <c r="B245" s="29" t="n"/>
      <c r="C245" s="29" t="n"/>
      <c r="D245" s="30">
        <f>IF(C245="","",IFERROR(INDEX(Settings!$C$21:$C$34,MATCH(C245,Settings!$B$21:$B$34,0)),"Check category"))</f>
        <v/>
      </c>
      <c r="E245" s="31" t="n"/>
      <c r="F245" s="29" t="n"/>
      <c r="G245" s="29" t="n"/>
      <c r="H245" s="30">
        <f>IF(A245="","",IFERROR(LOOKUP(A245,Settings!$C$14:$C$17,Settings!$B$14:$B$17),"Pre-MS1"))</f>
        <v/>
      </c>
      <c r="I245" s="32">
        <f>IF(OR(A245="",E245=""),0,IF(D245="Expense",-E245,E245))</f>
        <v/>
      </c>
      <c r="J245" s="33">
        <f>IF(A245="","",Settings!$C$5+SUM($I$5:I245))</f>
        <v/>
      </c>
    </row>
    <row r="246">
      <c r="A246" s="28" t="n"/>
      <c r="B246" s="29" t="n"/>
      <c r="C246" s="29" t="n"/>
      <c r="D246" s="30">
        <f>IF(C246="","",IFERROR(INDEX(Settings!$C$21:$C$34,MATCH(C246,Settings!$B$21:$B$34,0)),"Check category"))</f>
        <v/>
      </c>
      <c r="E246" s="31" t="n"/>
      <c r="F246" s="29" t="n"/>
      <c r="G246" s="29" t="n"/>
      <c r="H246" s="30">
        <f>IF(A246="","",IFERROR(LOOKUP(A246,Settings!$C$14:$C$17,Settings!$B$14:$B$17),"Pre-MS1"))</f>
        <v/>
      </c>
      <c r="I246" s="32">
        <f>IF(OR(A246="",E246=""),0,IF(D246="Expense",-E246,E246))</f>
        <v/>
      </c>
      <c r="J246" s="33">
        <f>IF(A246="","",Settings!$C$5+SUM($I$5:I246))</f>
        <v/>
      </c>
    </row>
    <row r="247">
      <c r="A247" s="28" t="n"/>
      <c r="B247" s="29" t="n"/>
      <c r="C247" s="29" t="n"/>
      <c r="D247" s="30">
        <f>IF(C247="","",IFERROR(INDEX(Settings!$C$21:$C$34,MATCH(C247,Settings!$B$21:$B$34,0)),"Check category"))</f>
        <v/>
      </c>
      <c r="E247" s="31" t="n"/>
      <c r="F247" s="29" t="n"/>
      <c r="G247" s="29" t="n"/>
      <c r="H247" s="30">
        <f>IF(A247="","",IFERROR(LOOKUP(A247,Settings!$C$14:$C$17,Settings!$B$14:$B$17),"Pre-MS1"))</f>
        <v/>
      </c>
      <c r="I247" s="32">
        <f>IF(OR(A247="",E247=""),0,IF(D247="Expense",-E247,E247))</f>
        <v/>
      </c>
      <c r="J247" s="33">
        <f>IF(A247="","",Settings!$C$5+SUM($I$5:I247))</f>
        <v/>
      </c>
    </row>
    <row r="248">
      <c r="A248" s="28" t="n"/>
      <c r="B248" s="29" t="n"/>
      <c r="C248" s="29" t="n"/>
      <c r="D248" s="30">
        <f>IF(C248="","",IFERROR(INDEX(Settings!$C$21:$C$34,MATCH(C248,Settings!$B$21:$B$34,0)),"Check category"))</f>
        <v/>
      </c>
      <c r="E248" s="31" t="n"/>
      <c r="F248" s="29" t="n"/>
      <c r="G248" s="29" t="n"/>
      <c r="H248" s="30">
        <f>IF(A248="","",IFERROR(LOOKUP(A248,Settings!$C$14:$C$17,Settings!$B$14:$B$17),"Pre-MS1"))</f>
        <v/>
      </c>
      <c r="I248" s="32">
        <f>IF(OR(A248="",E248=""),0,IF(D248="Expense",-E248,E248))</f>
        <v/>
      </c>
      <c r="J248" s="33">
        <f>IF(A248="","",Settings!$C$5+SUM($I$5:I248))</f>
        <v/>
      </c>
    </row>
    <row r="249">
      <c r="A249" s="28" t="n"/>
      <c r="B249" s="29" t="n"/>
      <c r="C249" s="29" t="n"/>
      <c r="D249" s="30">
        <f>IF(C249="","",IFERROR(INDEX(Settings!$C$21:$C$34,MATCH(C249,Settings!$B$21:$B$34,0)),"Check category"))</f>
        <v/>
      </c>
      <c r="E249" s="31" t="n"/>
      <c r="F249" s="29" t="n"/>
      <c r="G249" s="29" t="n"/>
      <c r="H249" s="30">
        <f>IF(A249="","",IFERROR(LOOKUP(A249,Settings!$C$14:$C$17,Settings!$B$14:$B$17),"Pre-MS1"))</f>
        <v/>
      </c>
      <c r="I249" s="32">
        <f>IF(OR(A249="",E249=""),0,IF(D249="Expense",-E249,E249))</f>
        <v/>
      </c>
      <c r="J249" s="33">
        <f>IF(A249="","",Settings!$C$5+SUM($I$5:I249))</f>
        <v/>
      </c>
    </row>
    <row r="250">
      <c r="A250" s="28" t="n"/>
      <c r="B250" s="29" t="n"/>
      <c r="C250" s="29" t="n"/>
      <c r="D250" s="30">
        <f>IF(C250="","",IFERROR(INDEX(Settings!$C$21:$C$34,MATCH(C250,Settings!$B$21:$B$34,0)),"Check category"))</f>
        <v/>
      </c>
      <c r="E250" s="31" t="n"/>
      <c r="F250" s="29" t="n"/>
      <c r="G250" s="29" t="n"/>
      <c r="H250" s="30">
        <f>IF(A250="","",IFERROR(LOOKUP(A250,Settings!$C$14:$C$17,Settings!$B$14:$B$17),"Pre-MS1"))</f>
        <v/>
      </c>
      <c r="I250" s="32">
        <f>IF(OR(A250="",E250=""),0,IF(D250="Expense",-E250,E250))</f>
        <v/>
      </c>
      <c r="J250" s="33">
        <f>IF(A250="","",Settings!$C$5+SUM($I$5:I250))</f>
        <v/>
      </c>
    </row>
    <row r="251">
      <c r="A251" s="28" t="n"/>
      <c r="B251" s="29" t="n"/>
      <c r="C251" s="29" t="n"/>
      <c r="D251" s="30">
        <f>IF(C251="","",IFERROR(INDEX(Settings!$C$21:$C$34,MATCH(C251,Settings!$B$21:$B$34,0)),"Check category"))</f>
        <v/>
      </c>
      <c r="E251" s="31" t="n"/>
      <c r="F251" s="29" t="n"/>
      <c r="G251" s="29" t="n"/>
      <c r="H251" s="30">
        <f>IF(A251="","",IFERROR(LOOKUP(A251,Settings!$C$14:$C$17,Settings!$B$14:$B$17),"Pre-MS1"))</f>
        <v/>
      </c>
      <c r="I251" s="32">
        <f>IF(OR(A251="",E251=""),0,IF(D251="Expense",-E251,E251))</f>
        <v/>
      </c>
      <c r="J251" s="33">
        <f>IF(A251="","",Settings!$C$5+SUM($I$5:I251))</f>
        <v/>
      </c>
    </row>
    <row r="252">
      <c r="A252" s="28" t="n"/>
      <c r="B252" s="29" t="n"/>
      <c r="C252" s="29" t="n"/>
      <c r="D252" s="30">
        <f>IF(C252="","",IFERROR(INDEX(Settings!$C$21:$C$34,MATCH(C252,Settings!$B$21:$B$34,0)),"Check category"))</f>
        <v/>
      </c>
      <c r="E252" s="31" t="n"/>
      <c r="F252" s="29" t="n"/>
      <c r="G252" s="29" t="n"/>
      <c r="H252" s="30">
        <f>IF(A252="","",IFERROR(LOOKUP(A252,Settings!$C$14:$C$17,Settings!$B$14:$B$17),"Pre-MS1"))</f>
        <v/>
      </c>
      <c r="I252" s="32">
        <f>IF(OR(A252="",E252=""),0,IF(D252="Expense",-E252,E252))</f>
        <v/>
      </c>
      <c r="J252" s="33">
        <f>IF(A252="","",Settings!$C$5+SUM($I$5:I252))</f>
        <v/>
      </c>
    </row>
    <row r="253">
      <c r="A253" s="28" t="n"/>
      <c r="B253" s="29" t="n"/>
      <c r="C253" s="29" t="n"/>
      <c r="D253" s="30">
        <f>IF(C253="","",IFERROR(INDEX(Settings!$C$21:$C$34,MATCH(C253,Settings!$B$21:$B$34,0)),"Check category"))</f>
        <v/>
      </c>
      <c r="E253" s="31" t="n"/>
      <c r="F253" s="29" t="n"/>
      <c r="G253" s="29" t="n"/>
      <c r="H253" s="30">
        <f>IF(A253="","",IFERROR(LOOKUP(A253,Settings!$C$14:$C$17,Settings!$B$14:$B$17),"Pre-MS1"))</f>
        <v/>
      </c>
      <c r="I253" s="32">
        <f>IF(OR(A253="",E253=""),0,IF(D253="Expense",-E253,E253))</f>
        <v/>
      </c>
      <c r="J253" s="33">
        <f>IF(A253="","",Settings!$C$5+SUM($I$5:I253))</f>
        <v/>
      </c>
    </row>
    <row r="254">
      <c r="A254" s="28" t="n"/>
      <c r="B254" s="29" t="n"/>
      <c r="C254" s="29" t="n"/>
      <c r="D254" s="30">
        <f>IF(C254="","",IFERROR(INDEX(Settings!$C$21:$C$34,MATCH(C254,Settings!$B$21:$B$34,0)),"Check category"))</f>
        <v/>
      </c>
      <c r="E254" s="31" t="n"/>
      <c r="F254" s="29" t="n"/>
      <c r="G254" s="29" t="n"/>
      <c r="H254" s="30">
        <f>IF(A254="","",IFERROR(LOOKUP(A254,Settings!$C$14:$C$17,Settings!$B$14:$B$17),"Pre-MS1"))</f>
        <v/>
      </c>
      <c r="I254" s="32">
        <f>IF(OR(A254="",E254=""),0,IF(D254="Expense",-E254,E254))</f>
        <v/>
      </c>
      <c r="J254" s="33">
        <f>IF(A254="","",Settings!$C$5+SUM($I$5:I254))</f>
        <v/>
      </c>
    </row>
    <row r="255">
      <c r="A255" s="28" t="n"/>
      <c r="B255" s="29" t="n"/>
      <c r="C255" s="29" t="n"/>
      <c r="D255" s="30">
        <f>IF(C255="","",IFERROR(INDEX(Settings!$C$21:$C$34,MATCH(C255,Settings!$B$21:$B$34,0)),"Check category"))</f>
        <v/>
      </c>
      <c r="E255" s="31" t="n"/>
      <c r="F255" s="29" t="n"/>
      <c r="G255" s="29" t="n"/>
      <c r="H255" s="30">
        <f>IF(A255="","",IFERROR(LOOKUP(A255,Settings!$C$14:$C$17,Settings!$B$14:$B$17),"Pre-MS1"))</f>
        <v/>
      </c>
      <c r="I255" s="32">
        <f>IF(OR(A255="",E255=""),0,IF(D255="Expense",-E255,E255))</f>
        <v/>
      </c>
      <c r="J255" s="33">
        <f>IF(A255="","",Settings!$C$5+SUM($I$5:I255))</f>
        <v/>
      </c>
    </row>
    <row r="256">
      <c r="A256" s="28" t="n"/>
      <c r="B256" s="29" t="n"/>
      <c r="C256" s="29" t="n"/>
      <c r="D256" s="30">
        <f>IF(C256="","",IFERROR(INDEX(Settings!$C$21:$C$34,MATCH(C256,Settings!$B$21:$B$34,0)),"Check category"))</f>
        <v/>
      </c>
      <c r="E256" s="31" t="n"/>
      <c r="F256" s="29" t="n"/>
      <c r="G256" s="29" t="n"/>
      <c r="H256" s="30">
        <f>IF(A256="","",IFERROR(LOOKUP(A256,Settings!$C$14:$C$17,Settings!$B$14:$B$17),"Pre-MS1"))</f>
        <v/>
      </c>
      <c r="I256" s="32">
        <f>IF(OR(A256="",E256=""),0,IF(D256="Expense",-E256,E256))</f>
        <v/>
      </c>
      <c r="J256" s="33">
        <f>IF(A256="","",Settings!$C$5+SUM($I$5:I256))</f>
        <v/>
      </c>
    </row>
    <row r="257">
      <c r="A257" s="28" t="n"/>
      <c r="B257" s="29" t="n"/>
      <c r="C257" s="29" t="n"/>
      <c r="D257" s="30">
        <f>IF(C257="","",IFERROR(INDEX(Settings!$C$21:$C$34,MATCH(C257,Settings!$B$21:$B$34,0)),"Check category"))</f>
        <v/>
      </c>
      <c r="E257" s="31" t="n"/>
      <c r="F257" s="29" t="n"/>
      <c r="G257" s="29" t="n"/>
      <c r="H257" s="30">
        <f>IF(A257="","",IFERROR(LOOKUP(A257,Settings!$C$14:$C$17,Settings!$B$14:$B$17),"Pre-MS1"))</f>
        <v/>
      </c>
      <c r="I257" s="32">
        <f>IF(OR(A257="",E257=""),0,IF(D257="Expense",-E257,E257))</f>
        <v/>
      </c>
      <c r="J257" s="33">
        <f>IF(A257="","",Settings!$C$5+SUM($I$5:I257))</f>
        <v/>
      </c>
    </row>
    <row r="258">
      <c r="A258" s="28" t="n"/>
      <c r="B258" s="29" t="n"/>
      <c r="C258" s="29" t="n"/>
      <c r="D258" s="30">
        <f>IF(C258="","",IFERROR(INDEX(Settings!$C$21:$C$34,MATCH(C258,Settings!$B$21:$B$34,0)),"Check category"))</f>
        <v/>
      </c>
      <c r="E258" s="31" t="n"/>
      <c r="F258" s="29" t="n"/>
      <c r="G258" s="29" t="n"/>
      <c r="H258" s="30">
        <f>IF(A258="","",IFERROR(LOOKUP(A258,Settings!$C$14:$C$17,Settings!$B$14:$B$17),"Pre-MS1"))</f>
        <v/>
      </c>
      <c r="I258" s="32">
        <f>IF(OR(A258="",E258=""),0,IF(D258="Expense",-E258,E258))</f>
        <v/>
      </c>
      <c r="J258" s="33">
        <f>IF(A258="","",Settings!$C$5+SUM($I$5:I258))</f>
        <v/>
      </c>
    </row>
    <row r="259">
      <c r="A259" s="28" t="n"/>
      <c r="B259" s="29" t="n"/>
      <c r="C259" s="29" t="n"/>
      <c r="D259" s="30">
        <f>IF(C259="","",IFERROR(INDEX(Settings!$C$21:$C$34,MATCH(C259,Settings!$B$21:$B$34,0)),"Check category"))</f>
        <v/>
      </c>
      <c r="E259" s="31" t="n"/>
      <c r="F259" s="29" t="n"/>
      <c r="G259" s="29" t="n"/>
      <c r="H259" s="30">
        <f>IF(A259="","",IFERROR(LOOKUP(A259,Settings!$C$14:$C$17,Settings!$B$14:$B$17),"Pre-MS1"))</f>
        <v/>
      </c>
      <c r="I259" s="32">
        <f>IF(OR(A259="",E259=""),0,IF(D259="Expense",-E259,E259))</f>
        <v/>
      </c>
      <c r="J259" s="33">
        <f>IF(A259="","",Settings!$C$5+SUM($I$5:I259))</f>
        <v/>
      </c>
    </row>
    <row r="260">
      <c r="A260" s="28" t="n"/>
      <c r="B260" s="29" t="n"/>
      <c r="C260" s="29" t="n"/>
      <c r="D260" s="30">
        <f>IF(C260="","",IFERROR(INDEX(Settings!$C$21:$C$34,MATCH(C260,Settings!$B$21:$B$34,0)),"Check category"))</f>
        <v/>
      </c>
      <c r="E260" s="31" t="n"/>
      <c r="F260" s="29" t="n"/>
      <c r="G260" s="29" t="n"/>
      <c r="H260" s="30">
        <f>IF(A260="","",IFERROR(LOOKUP(A260,Settings!$C$14:$C$17,Settings!$B$14:$B$17),"Pre-MS1"))</f>
        <v/>
      </c>
      <c r="I260" s="32">
        <f>IF(OR(A260="",E260=""),0,IF(D260="Expense",-E260,E260))</f>
        <v/>
      </c>
      <c r="J260" s="33">
        <f>IF(A260="","",Settings!$C$5+SUM($I$5:I260))</f>
        <v/>
      </c>
    </row>
    <row r="261">
      <c r="A261" s="28" t="n"/>
      <c r="B261" s="29" t="n"/>
      <c r="C261" s="29" t="n"/>
      <c r="D261" s="30">
        <f>IF(C261="","",IFERROR(INDEX(Settings!$C$21:$C$34,MATCH(C261,Settings!$B$21:$B$34,0)),"Check category"))</f>
        <v/>
      </c>
      <c r="E261" s="31" t="n"/>
      <c r="F261" s="29" t="n"/>
      <c r="G261" s="29" t="n"/>
      <c r="H261" s="30">
        <f>IF(A261="","",IFERROR(LOOKUP(A261,Settings!$C$14:$C$17,Settings!$B$14:$B$17),"Pre-MS1"))</f>
        <v/>
      </c>
      <c r="I261" s="32">
        <f>IF(OR(A261="",E261=""),0,IF(D261="Expense",-E261,E261))</f>
        <v/>
      </c>
      <c r="J261" s="33">
        <f>IF(A261="","",Settings!$C$5+SUM($I$5:I261))</f>
        <v/>
      </c>
    </row>
    <row r="262">
      <c r="A262" s="28" t="n"/>
      <c r="B262" s="29" t="n"/>
      <c r="C262" s="29" t="n"/>
      <c r="D262" s="30">
        <f>IF(C262="","",IFERROR(INDEX(Settings!$C$21:$C$34,MATCH(C262,Settings!$B$21:$B$34,0)),"Check category"))</f>
        <v/>
      </c>
      <c r="E262" s="31" t="n"/>
      <c r="F262" s="29" t="n"/>
      <c r="G262" s="29" t="n"/>
      <c r="H262" s="30">
        <f>IF(A262="","",IFERROR(LOOKUP(A262,Settings!$C$14:$C$17,Settings!$B$14:$B$17),"Pre-MS1"))</f>
        <v/>
      </c>
      <c r="I262" s="32">
        <f>IF(OR(A262="",E262=""),0,IF(D262="Expense",-E262,E262))</f>
        <v/>
      </c>
      <c r="J262" s="33">
        <f>IF(A262="","",Settings!$C$5+SUM($I$5:I262))</f>
        <v/>
      </c>
    </row>
    <row r="263">
      <c r="A263" s="28" t="n"/>
      <c r="B263" s="29" t="n"/>
      <c r="C263" s="29" t="n"/>
      <c r="D263" s="30">
        <f>IF(C263="","",IFERROR(INDEX(Settings!$C$21:$C$34,MATCH(C263,Settings!$B$21:$B$34,0)),"Check category"))</f>
        <v/>
      </c>
      <c r="E263" s="31" t="n"/>
      <c r="F263" s="29" t="n"/>
      <c r="G263" s="29" t="n"/>
      <c r="H263" s="30">
        <f>IF(A263="","",IFERROR(LOOKUP(A263,Settings!$C$14:$C$17,Settings!$B$14:$B$17),"Pre-MS1"))</f>
        <v/>
      </c>
      <c r="I263" s="32">
        <f>IF(OR(A263="",E263=""),0,IF(D263="Expense",-E263,E263))</f>
        <v/>
      </c>
      <c r="J263" s="33">
        <f>IF(A263="","",Settings!$C$5+SUM($I$5:I263))</f>
        <v/>
      </c>
    </row>
    <row r="264">
      <c r="A264" s="28" t="n"/>
      <c r="B264" s="29" t="n"/>
      <c r="C264" s="29" t="n"/>
      <c r="D264" s="30">
        <f>IF(C264="","",IFERROR(INDEX(Settings!$C$21:$C$34,MATCH(C264,Settings!$B$21:$B$34,0)),"Check category"))</f>
        <v/>
      </c>
      <c r="E264" s="31" t="n"/>
      <c r="F264" s="29" t="n"/>
      <c r="G264" s="29" t="n"/>
      <c r="H264" s="30">
        <f>IF(A264="","",IFERROR(LOOKUP(A264,Settings!$C$14:$C$17,Settings!$B$14:$B$17),"Pre-MS1"))</f>
        <v/>
      </c>
      <c r="I264" s="32">
        <f>IF(OR(A264="",E264=""),0,IF(D264="Expense",-E264,E264))</f>
        <v/>
      </c>
      <c r="J264" s="33">
        <f>IF(A264="","",Settings!$C$5+SUM($I$5:I264))</f>
        <v/>
      </c>
    </row>
    <row r="265">
      <c r="A265" s="28" t="n"/>
      <c r="B265" s="29" t="n"/>
      <c r="C265" s="29" t="n"/>
      <c r="D265" s="30">
        <f>IF(C265="","",IFERROR(INDEX(Settings!$C$21:$C$34,MATCH(C265,Settings!$B$21:$B$34,0)),"Check category"))</f>
        <v/>
      </c>
      <c r="E265" s="31" t="n"/>
      <c r="F265" s="29" t="n"/>
      <c r="G265" s="29" t="n"/>
      <c r="H265" s="30">
        <f>IF(A265="","",IFERROR(LOOKUP(A265,Settings!$C$14:$C$17,Settings!$B$14:$B$17),"Pre-MS1"))</f>
        <v/>
      </c>
      <c r="I265" s="32">
        <f>IF(OR(A265="",E265=""),0,IF(D265="Expense",-E265,E265))</f>
        <v/>
      </c>
      <c r="J265" s="33">
        <f>IF(A265="","",Settings!$C$5+SUM($I$5:I265))</f>
        <v/>
      </c>
    </row>
    <row r="266">
      <c r="A266" s="28" t="n"/>
      <c r="B266" s="29" t="n"/>
      <c r="C266" s="29" t="n"/>
      <c r="D266" s="30">
        <f>IF(C266="","",IFERROR(INDEX(Settings!$C$21:$C$34,MATCH(C266,Settings!$B$21:$B$34,0)),"Check category"))</f>
        <v/>
      </c>
      <c r="E266" s="31" t="n"/>
      <c r="F266" s="29" t="n"/>
      <c r="G266" s="29" t="n"/>
      <c r="H266" s="30">
        <f>IF(A266="","",IFERROR(LOOKUP(A266,Settings!$C$14:$C$17,Settings!$B$14:$B$17),"Pre-MS1"))</f>
        <v/>
      </c>
      <c r="I266" s="32">
        <f>IF(OR(A266="",E266=""),0,IF(D266="Expense",-E266,E266))</f>
        <v/>
      </c>
      <c r="J266" s="33">
        <f>IF(A266="","",Settings!$C$5+SUM($I$5:I266))</f>
        <v/>
      </c>
    </row>
    <row r="267">
      <c r="A267" s="28" t="n"/>
      <c r="B267" s="29" t="n"/>
      <c r="C267" s="29" t="n"/>
      <c r="D267" s="30">
        <f>IF(C267="","",IFERROR(INDEX(Settings!$C$21:$C$34,MATCH(C267,Settings!$B$21:$B$34,0)),"Check category"))</f>
        <v/>
      </c>
      <c r="E267" s="31" t="n"/>
      <c r="F267" s="29" t="n"/>
      <c r="G267" s="29" t="n"/>
      <c r="H267" s="30">
        <f>IF(A267="","",IFERROR(LOOKUP(A267,Settings!$C$14:$C$17,Settings!$B$14:$B$17),"Pre-MS1"))</f>
        <v/>
      </c>
      <c r="I267" s="32">
        <f>IF(OR(A267="",E267=""),0,IF(D267="Expense",-E267,E267))</f>
        <v/>
      </c>
      <c r="J267" s="33">
        <f>IF(A267="","",Settings!$C$5+SUM($I$5:I267))</f>
        <v/>
      </c>
    </row>
    <row r="268">
      <c r="A268" s="28" t="n"/>
      <c r="B268" s="29" t="n"/>
      <c r="C268" s="29" t="n"/>
      <c r="D268" s="30">
        <f>IF(C268="","",IFERROR(INDEX(Settings!$C$21:$C$34,MATCH(C268,Settings!$B$21:$B$34,0)),"Check category"))</f>
        <v/>
      </c>
      <c r="E268" s="31" t="n"/>
      <c r="F268" s="29" t="n"/>
      <c r="G268" s="29" t="n"/>
      <c r="H268" s="30">
        <f>IF(A268="","",IFERROR(LOOKUP(A268,Settings!$C$14:$C$17,Settings!$B$14:$B$17),"Pre-MS1"))</f>
        <v/>
      </c>
      <c r="I268" s="32">
        <f>IF(OR(A268="",E268=""),0,IF(D268="Expense",-E268,E268))</f>
        <v/>
      </c>
      <c r="J268" s="33">
        <f>IF(A268="","",Settings!$C$5+SUM($I$5:I268))</f>
        <v/>
      </c>
    </row>
    <row r="269">
      <c r="A269" s="28" t="n"/>
      <c r="B269" s="29" t="n"/>
      <c r="C269" s="29" t="n"/>
      <c r="D269" s="30">
        <f>IF(C269="","",IFERROR(INDEX(Settings!$C$21:$C$34,MATCH(C269,Settings!$B$21:$B$34,0)),"Check category"))</f>
        <v/>
      </c>
      <c r="E269" s="31" t="n"/>
      <c r="F269" s="29" t="n"/>
      <c r="G269" s="29" t="n"/>
      <c r="H269" s="30">
        <f>IF(A269="","",IFERROR(LOOKUP(A269,Settings!$C$14:$C$17,Settings!$B$14:$B$17),"Pre-MS1"))</f>
        <v/>
      </c>
      <c r="I269" s="32">
        <f>IF(OR(A269="",E269=""),0,IF(D269="Expense",-E269,E269))</f>
        <v/>
      </c>
      <c r="J269" s="33">
        <f>IF(A269="","",Settings!$C$5+SUM($I$5:I269))</f>
        <v/>
      </c>
    </row>
    <row r="270">
      <c r="A270" s="28" t="n"/>
      <c r="B270" s="29" t="n"/>
      <c r="C270" s="29" t="n"/>
      <c r="D270" s="30">
        <f>IF(C270="","",IFERROR(INDEX(Settings!$C$21:$C$34,MATCH(C270,Settings!$B$21:$B$34,0)),"Check category"))</f>
        <v/>
      </c>
      <c r="E270" s="31" t="n"/>
      <c r="F270" s="29" t="n"/>
      <c r="G270" s="29" t="n"/>
      <c r="H270" s="30">
        <f>IF(A270="","",IFERROR(LOOKUP(A270,Settings!$C$14:$C$17,Settings!$B$14:$B$17),"Pre-MS1"))</f>
        <v/>
      </c>
      <c r="I270" s="32">
        <f>IF(OR(A270="",E270=""),0,IF(D270="Expense",-E270,E270))</f>
        <v/>
      </c>
      <c r="J270" s="33">
        <f>IF(A270="","",Settings!$C$5+SUM($I$5:I270))</f>
        <v/>
      </c>
    </row>
    <row r="271">
      <c r="A271" s="28" t="n"/>
      <c r="B271" s="29" t="n"/>
      <c r="C271" s="29" t="n"/>
      <c r="D271" s="30">
        <f>IF(C271="","",IFERROR(INDEX(Settings!$C$21:$C$34,MATCH(C271,Settings!$B$21:$B$34,0)),"Check category"))</f>
        <v/>
      </c>
      <c r="E271" s="31" t="n"/>
      <c r="F271" s="29" t="n"/>
      <c r="G271" s="29" t="n"/>
      <c r="H271" s="30">
        <f>IF(A271="","",IFERROR(LOOKUP(A271,Settings!$C$14:$C$17,Settings!$B$14:$B$17),"Pre-MS1"))</f>
        <v/>
      </c>
      <c r="I271" s="32">
        <f>IF(OR(A271="",E271=""),0,IF(D271="Expense",-E271,E271))</f>
        <v/>
      </c>
      <c r="J271" s="33">
        <f>IF(A271="","",Settings!$C$5+SUM($I$5:I271))</f>
        <v/>
      </c>
    </row>
    <row r="272">
      <c r="A272" s="28" t="n"/>
      <c r="B272" s="29" t="n"/>
      <c r="C272" s="29" t="n"/>
      <c r="D272" s="30">
        <f>IF(C272="","",IFERROR(INDEX(Settings!$C$21:$C$34,MATCH(C272,Settings!$B$21:$B$34,0)),"Check category"))</f>
        <v/>
      </c>
      <c r="E272" s="31" t="n"/>
      <c r="F272" s="29" t="n"/>
      <c r="G272" s="29" t="n"/>
      <c r="H272" s="30">
        <f>IF(A272="","",IFERROR(LOOKUP(A272,Settings!$C$14:$C$17,Settings!$B$14:$B$17),"Pre-MS1"))</f>
        <v/>
      </c>
      <c r="I272" s="32">
        <f>IF(OR(A272="",E272=""),0,IF(D272="Expense",-E272,E272))</f>
        <v/>
      </c>
      <c r="J272" s="33">
        <f>IF(A272="","",Settings!$C$5+SUM($I$5:I272))</f>
        <v/>
      </c>
    </row>
    <row r="273">
      <c r="A273" s="28" t="n"/>
      <c r="B273" s="29" t="n"/>
      <c r="C273" s="29" t="n"/>
      <c r="D273" s="30">
        <f>IF(C273="","",IFERROR(INDEX(Settings!$C$21:$C$34,MATCH(C273,Settings!$B$21:$B$34,0)),"Check category"))</f>
        <v/>
      </c>
      <c r="E273" s="31" t="n"/>
      <c r="F273" s="29" t="n"/>
      <c r="G273" s="29" t="n"/>
      <c r="H273" s="30">
        <f>IF(A273="","",IFERROR(LOOKUP(A273,Settings!$C$14:$C$17,Settings!$B$14:$B$17),"Pre-MS1"))</f>
        <v/>
      </c>
      <c r="I273" s="32">
        <f>IF(OR(A273="",E273=""),0,IF(D273="Expense",-E273,E273))</f>
        <v/>
      </c>
      <c r="J273" s="33">
        <f>IF(A273="","",Settings!$C$5+SUM($I$5:I273))</f>
        <v/>
      </c>
    </row>
    <row r="274">
      <c r="A274" s="28" t="n"/>
      <c r="B274" s="29" t="n"/>
      <c r="C274" s="29" t="n"/>
      <c r="D274" s="30">
        <f>IF(C274="","",IFERROR(INDEX(Settings!$C$21:$C$34,MATCH(C274,Settings!$B$21:$B$34,0)),"Check category"))</f>
        <v/>
      </c>
      <c r="E274" s="31" t="n"/>
      <c r="F274" s="29" t="n"/>
      <c r="G274" s="29" t="n"/>
      <c r="H274" s="30">
        <f>IF(A274="","",IFERROR(LOOKUP(A274,Settings!$C$14:$C$17,Settings!$B$14:$B$17),"Pre-MS1"))</f>
        <v/>
      </c>
      <c r="I274" s="32">
        <f>IF(OR(A274="",E274=""),0,IF(D274="Expense",-E274,E274))</f>
        <v/>
      </c>
      <c r="J274" s="33">
        <f>IF(A274="","",Settings!$C$5+SUM($I$5:I274))</f>
        <v/>
      </c>
    </row>
    <row r="275">
      <c r="A275" s="28" t="n"/>
      <c r="B275" s="29" t="n"/>
      <c r="C275" s="29" t="n"/>
      <c r="D275" s="30">
        <f>IF(C275="","",IFERROR(INDEX(Settings!$C$21:$C$34,MATCH(C275,Settings!$B$21:$B$34,0)),"Check category"))</f>
        <v/>
      </c>
      <c r="E275" s="31" t="n"/>
      <c r="F275" s="29" t="n"/>
      <c r="G275" s="29" t="n"/>
      <c r="H275" s="30">
        <f>IF(A275="","",IFERROR(LOOKUP(A275,Settings!$C$14:$C$17,Settings!$B$14:$B$17),"Pre-MS1"))</f>
        <v/>
      </c>
      <c r="I275" s="32">
        <f>IF(OR(A275="",E275=""),0,IF(D275="Expense",-E275,E275))</f>
        <v/>
      </c>
      <c r="J275" s="33">
        <f>IF(A275="","",Settings!$C$5+SUM($I$5:I275))</f>
        <v/>
      </c>
    </row>
    <row r="276">
      <c r="A276" s="28" t="n"/>
      <c r="B276" s="29" t="n"/>
      <c r="C276" s="29" t="n"/>
      <c r="D276" s="30">
        <f>IF(C276="","",IFERROR(INDEX(Settings!$C$21:$C$34,MATCH(C276,Settings!$B$21:$B$34,0)),"Check category"))</f>
        <v/>
      </c>
      <c r="E276" s="31" t="n"/>
      <c r="F276" s="29" t="n"/>
      <c r="G276" s="29" t="n"/>
      <c r="H276" s="30">
        <f>IF(A276="","",IFERROR(LOOKUP(A276,Settings!$C$14:$C$17,Settings!$B$14:$B$17),"Pre-MS1"))</f>
        <v/>
      </c>
      <c r="I276" s="32">
        <f>IF(OR(A276="",E276=""),0,IF(D276="Expense",-E276,E276))</f>
        <v/>
      </c>
      <c r="J276" s="33">
        <f>IF(A276="","",Settings!$C$5+SUM($I$5:I276))</f>
        <v/>
      </c>
    </row>
    <row r="277">
      <c r="A277" s="28" t="n"/>
      <c r="B277" s="29" t="n"/>
      <c r="C277" s="29" t="n"/>
      <c r="D277" s="30">
        <f>IF(C277="","",IFERROR(INDEX(Settings!$C$21:$C$34,MATCH(C277,Settings!$B$21:$B$34,0)),"Check category"))</f>
        <v/>
      </c>
      <c r="E277" s="31" t="n"/>
      <c r="F277" s="29" t="n"/>
      <c r="G277" s="29" t="n"/>
      <c r="H277" s="30">
        <f>IF(A277="","",IFERROR(LOOKUP(A277,Settings!$C$14:$C$17,Settings!$B$14:$B$17),"Pre-MS1"))</f>
        <v/>
      </c>
      <c r="I277" s="32">
        <f>IF(OR(A277="",E277=""),0,IF(D277="Expense",-E277,E277))</f>
        <v/>
      </c>
      <c r="J277" s="33">
        <f>IF(A277="","",Settings!$C$5+SUM($I$5:I277))</f>
        <v/>
      </c>
    </row>
    <row r="278">
      <c r="A278" s="28" t="n"/>
      <c r="B278" s="29" t="n"/>
      <c r="C278" s="29" t="n"/>
      <c r="D278" s="30">
        <f>IF(C278="","",IFERROR(INDEX(Settings!$C$21:$C$34,MATCH(C278,Settings!$B$21:$B$34,0)),"Check category"))</f>
        <v/>
      </c>
      <c r="E278" s="31" t="n"/>
      <c r="F278" s="29" t="n"/>
      <c r="G278" s="29" t="n"/>
      <c r="H278" s="30">
        <f>IF(A278="","",IFERROR(LOOKUP(A278,Settings!$C$14:$C$17,Settings!$B$14:$B$17),"Pre-MS1"))</f>
        <v/>
      </c>
      <c r="I278" s="32">
        <f>IF(OR(A278="",E278=""),0,IF(D278="Expense",-E278,E278))</f>
        <v/>
      </c>
      <c r="J278" s="33">
        <f>IF(A278="","",Settings!$C$5+SUM($I$5:I278))</f>
        <v/>
      </c>
    </row>
    <row r="279">
      <c r="A279" s="28" t="n"/>
      <c r="B279" s="29" t="n"/>
      <c r="C279" s="29" t="n"/>
      <c r="D279" s="30">
        <f>IF(C279="","",IFERROR(INDEX(Settings!$C$21:$C$34,MATCH(C279,Settings!$B$21:$B$34,0)),"Check category"))</f>
        <v/>
      </c>
      <c r="E279" s="31" t="n"/>
      <c r="F279" s="29" t="n"/>
      <c r="G279" s="29" t="n"/>
      <c r="H279" s="30">
        <f>IF(A279="","",IFERROR(LOOKUP(A279,Settings!$C$14:$C$17,Settings!$B$14:$B$17),"Pre-MS1"))</f>
        <v/>
      </c>
      <c r="I279" s="32">
        <f>IF(OR(A279="",E279=""),0,IF(D279="Expense",-E279,E279))</f>
        <v/>
      </c>
      <c r="J279" s="33">
        <f>IF(A279="","",Settings!$C$5+SUM($I$5:I279))</f>
        <v/>
      </c>
    </row>
    <row r="280">
      <c r="A280" s="28" t="n"/>
      <c r="B280" s="29" t="n"/>
      <c r="C280" s="29" t="n"/>
      <c r="D280" s="30">
        <f>IF(C280="","",IFERROR(INDEX(Settings!$C$21:$C$34,MATCH(C280,Settings!$B$21:$B$34,0)),"Check category"))</f>
        <v/>
      </c>
      <c r="E280" s="31" t="n"/>
      <c r="F280" s="29" t="n"/>
      <c r="G280" s="29" t="n"/>
      <c r="H280" s="30">
        <f>IF(A280="","",IFERROR(LOOKUP(A280,Settings!$C$14:$C$17,Settings!$B$14:$B$17),"Pre-MS1"))</f>
        <v/>
      </c>
      <c r="I280" s="32">
        <f>IF(OR(A280="",E280=""),0,IF(D280="Expense",-E280,E280))</f>
        <v/>
      </c>
      <c r="J280" s="33">
        <f>IF(A280="","",Settings!$C$5+SUM($I$5:I280))</f>
        <v/>
      </c>
    </row>
    <row r="281">
      <c r="A281" s="28" t="n"/>
      <c r="B281" s="29" t="n"/>
      <c r="C281" s="29" t="n"/>
      <c r="D281" s="30">
        <f>IF(C281="","",IFERROR(INDEX(Settings!$C$21:$C$34,MATCH(C281,Settings!$B$21:$B$34,0)),"Check category"))</f>
        <v/>
      </c>
      <c r="E281" s="31" t="n"/>
      <c r="F281" s="29" t="n"/>
      <c r="G281" s="29" t="n"/>
      <c r="H281" s="30">
        <f>IF(A281="","",IFERROR(LOOKUP(A281,Settings!$C$14:$C$17,Settings!$B$14:$B$17),"Pre-MS1"))</f>
        <v/>
      </c>
      <c r="I281" s="32">
        <f>IF(OR(A281="",E281=""),0,IF(D281="Expense",-E281,E281))</f>
        <v/>
      </c>
      <c r="J281" s="33">
        <f>IF(A281="","",Settings!$C$5+SUM($I$5:I281))</f>
        <v/>
      </c>
    </row>
    <row r="282">
      <c r="A282" s="28" t="n"/>
      <c r="B282" s="29" t="n"/>
      <c r="C282" s="29" t="n"/>
      <c r="D282" s="30">
        <f>IF(C282="","",IFERROR(INDEX(Settings!$C$21:$C$34,MATCH(C282,Settings!$B$21:$B$34,0)),"Check category"))</f>
        <v/>
      </c>
      <c r="E282" s="31" t="n"/>
      <c r="F282" s="29" t="n"/>
      <c r="G282" s="29" t="n"/>
      <c r="H282" s="30">
        <f>IF(A282="","",IFERROR(LOOKUP(A282,Settings!$C$14:$C$17,Settings!$B$14:$B$17),"Pre-MS1"))</f>
        <v/>
      </c>
      <c r="I282" s="32">
        <f>IF(OR(A282="",E282=""),0,IF(D282="Expense",-E282,E282))</f>
        <v/>
      </c>
      <c r="J282" s="33">
        <f>IF(A282="","",Settings!$C$5+SUM($I$5:I282))</f>
        <v/>
      </c>
    </row>
    <row r="283">
      <c r="A283" s="28" t="n"/>
      <c r="B283" s="29" t="n"/>
      <c r="C283" s="29" t="n"/>
      <c r="D283" s="30">
        <f>IF(C283="","",IFERROR(INDEX(Settings!$C$21:$C$34,MATCH(C283,Settings!$B$21:$B$34,0)),"Check category"))</f>
        <v/>
      </c>
      <c r="E283" s="31" t="n"/>
      <c r="F283" s="29" t="n"/>
      <c r="G283" s="29" t="n"/>
      <c r="H283" s="30">
        <f>IF(A283="","",IFERROR(LOOKUP(A283,Settings!$C$14:$C$17,Settings!$B$14:$B$17),"Pre-MS1"))</f>
        <v/>
      </c>
      <c r="I283" s="32">
        <f>IF(OR(A283="",E283=""),0,IF(D283="Expense",-E283,E283))</f>
        <v/>
      </c>
      <c r="J283" s="33">
        <f>IF(A283="","",Settings!$C$5+SUM($I$5:I283))</f>
        <v/>
      </c>
    </row>
    <row r="284">
      <c r="A284" s="28" t="n"/>
      <c r="B284" s="29" t="n"/>
      <c r="C284" s="29" t="n"/>
      <c r="D284" s="30">
        <f>IF(C284="","",IFERROR(INDEX(Settings!$C$21:$C$34,MATCH(C284,Settings!$B$21:$B$34,0)),"Check category"))</f>
        <v/>
      </c>
      <c r="E284" s="31" t="n"/>
      <c r="F284" s="29" t="n"/>
      <c r="G284" s="29" t="n"/>
      <c r="H284" s="30">
        <f>IF(A284="","",IFERROR(LOOKUP(A284,Settings!$C$14:$C$17,Settings!$B$14:$B$17),"Pre-MS1"))</f>
        <v/>
      </c>
      <c r="I284" s="32">
        <f>IF(OR(A284="",E284=""),0,IF(D284="Expense",-E284,E284))</f>
        <v/>
      </c>
      <c r="J284" s="33">
        <f>IF(A284="","",Settings!$C$5+SUM($I$5:I284))</f>
        <v/>
      </c>
    </row>
    <row r="285">
      <c r="A285" s="28" t="n"/>
      <c r="B285" s="29" t="n"/>
      <c r="C285" s="29" t="n"/>
      <c r="D285" s="30">
        <f>IF(C285="","",IFERROR(INDEX(Settings!$C$21:$C$34,MATCH(C285,Settings!$B$21:$B$34,0)),"Check category"))</f>
        <v/>
      </c>
      <c r="E285" s="31" t="n"/>
      <c r="F285" s="29" t="n"/>
      <c r="G285" s="29" t="n"/>
      <c r="H285" s="30">
        <f>IF(A285="","",IFERROR(LOOKUP(A285,Settings!$C$14:$C$17,Settings!$B$14:$B$17),"Pre-MS1"))</f>
        <v/>
      </c>
      <c r="I285" s="32">
        <f>IF(OR(A285="",E285=""),0,IF(D285="Expense",-E285,E285))</f>
        <v/>
      </c>
      <c r="J285" s="33">
        <f>IF(A285="","",Settings!$C$5+SUM($I$5:I285))</f>
        <v/>
      </c>
    </row>
    <row r="286">
      <c r="A286" s="28" t="n"/>
      <c r="B286" s="29" t="n"/>
      <c r="C286" s="29" t="n"/>
      <c r="D286" s="30">
        <f>IF(C286="","",IFERROR(INDEX(Settings!$C$21:$C$34,MATCH(C286,Settings!$B$21:$B$34,0)),"Check category"))</f>
        <v/>
      </c>
      <c r="E286" s="31" t="n"/>
      <c r="F286" s="29" t="n"/>
      <c r="G286" s="29" t="n"/>
      <c r="H286" s="30">
        <f>IF(A286="","",IFERROR(LOOKUP(A286,Settings!$C$14:$C$17,Settings!$B$14:$B$17),"Pre-MS1"))</f>
        <v/>
      </c>
      <c r="I286" s="32">
        <f>IF(OR(A286="",E286=""),0,IF(D286="Expense",-E286,E286))</f>
        <v/>
      </c>
      <c r="J286" s="33">
        <f>IF(A286="","",Settings!$C$5+SUM($I$5:I286))</f>
        <v/>
      </c>
    </row>
    <row r="287">
      <c r="A287" s="28" t="n"/>
      <c r="B287" s="29" t="n"/>
      <c r="C287" s="29" t="n"/>
      <c r="D287" s="30">
        <f>IF(C287="","",IFERROR(INDEX(Settings!$C$21:$C$34,MATCH(C287,Settings!$B$21:$B$34,0)),"Check category"))</f>
        <v/>
      </c>
      <c r="E287" s="31" t="n"/>
      <c r="F287" s="29" t="n"/>
      <c r="G287" s="29" t="n"/>
      <c r="H287" s="30">
        <f>IF(A287="","",IFERROR(LOOKUP(A287,Settings!$C$14:$C$17,Settings!$B$14:$B$17),"Pre-MS1"))</f>
        <v/>
      </c>
      <c r="I287" s="32">
        <f>IF(OR(A287="",E287=""),0,IF(D287="Expense",-E287,E287))</f>
        <v/>
      </c>
      <c r="J287" s="33">
        <f>IF(A287="","",Settings!$C$5+SUM($I$5:I287))</f>
        <v/>
      </c>
    </row>
    <row r="288">
      <c r="A288" s="28" t="n"/>
      <c r="B288" s="29" t="n"/>
      <c r="C288" s="29" t="n"/>
      <c r="D288" s="30">
        <f>IF(C288="","",IFERROR(INDEX(Settings!$C$21:$C$34,MATCH(C288,Settings!$B$21:$B$34,0)),"Check category"))</f>
        <v/>
      </c>
      <c r="E288" s="31" t="n"/>
      <c r="F288" s="29" t="n"/>
      <c r="G288" s="29" t="n"/>
      <c r="H288" s="30">
        <f>IF(A288="","",IFERROR(LOOKUP(A288,Settings!$C$14:$C$17,Settings!$B$14:$B$17),"Pre-MS1"))</f>
        <v/>
      </c>
      <c r="I288" s="32">
        <f>IF(OR(A288="",E288=""),0,IF(D288="Expense",-E288,E288))</f>
        <v/>
      </c>
      <c r="J288" s="33">
        <f>IF(A288="","",Settings!$C$5+SUM($I$5:I288))</f>
        <v/>
      </c>
    </row>
    <row r="289">
      <c r="A289" s="28" t="n"/>
      <c r="B289" s="29" t="n"/>
      <c r="C289" s="29" t="n"/>
      <c r="D289" s="30">
        <f>IF(C289="","",IFERROR(INDEX(Settings!$C$21:$C$34,MATCH(C289,Settings!$B$21:$B$34,0)),"Check category"))</f>
        <v/>
      </c>
      <c r="E289" s="31" t="n"/>
      <c r="F289" s="29" t="n"/>
      <c r="G289" s="29" t="n"/>
      <c r="H289" s="30">
        <f>IF(A289="","",IFERROR(LOOKUP(A289,Settings!$C$14:$C$17,Settings!$B$14:$B$17),"Pre-MS1"))</f>
        <v/>
      </c>
      <c r="I289" s="32">
        <f>IF(OR(A289="",E289=""),0,IF(D289="Expense",-E289,E289))</f>
        <v/>
      </c>
      <c r="J289" s="33">
        <f>IF(A289="","",Settings!$C$5+SUM($I$5:I289))</f>
        <v/>
      </c>
    </row>
    <row r="290">
      <c r="A290" s="28" t="n"/>
      <c r="B290" s="29" t="n"/>
      <c r="C290" s="29" t="n"/>
      <c r="D290" s="30">
        <f>IF(C290="","",IFERROR(INDEX(Settings!$C$21:$C$34,MATCH(C290,Settings!$B$21:$B$34,0)),"Check category"))</f>
        <v/>
      </c>
      <c r="E290" s="31" t="n"/>
      <c r="F290" s="29" t="n"/>
      <c r="G290" s="29" t="n"/>
      <c r="H290" s="30">
        <f>IF(A290="","",IFERROR(LOOKUP(A290,Settings!$C$14:$C$17,Settings!$B$14:$B$17),"Pre-MS1"))</f>
        <v/>
      </c>
      <c r="I290" s="32">
        <f>IF(OR(A290="",E290=""),0,IF(D290="Expense",-E290,E290))</f>
        <v/>
      </c>
      <c r="J290" s="33">
        <f>IF(A290="","",Settings!$C$5+SUM($I$5:I290))</f>
        <v/>
      </c>
    </row>
    <row r="291">
      <c r="A291" s="28" t="n"/>
      <c r="B291" s="29" t="n"/>
      <c r="C291" s="29" t="n"/>
      <c r="D291" s="30">
        <f>IF(C291="","",IFERROR(INDEX(Settings!$C$21:$C$34,MATCH(C291,Settings!$B$21:$B$34,0)),"Check category"))</f>
        <v/>
      </c>
      <c r="E291" s="31" t="n"/>
      <c r="F291" s="29" t="n"/>
      <c r="G291" s="29" t="n"/>
      <c r="H291" s="30">
        <f>IF(A291="","",IFERROR(LOOKUP(A291,Settings!$C$14:$C$17,Settings!$B$14:$B$17),"Pre-MS1"))</f>
        <v/>
      </c>
      <c r="I291" s="32">
        <f>IF(OR(A291="",E291=""),0,IF(D291="Expense",-E291,E291))</f>
        <v/>
      </c>
      <c r="J291" s="33">
        <f>IF(A291="","",Settings!$C$5+SUM($I$5:I291))</f>
        <v/>
      </c>
    </row>
    <row r="292">
      <c r="A292" s="28" t="n"/>
      <c r="B292" s="29" t="n"/>
      <c r="C292" s="29" t="n"/>
      <c r="D292" s="30">
        <f>IF(C292="","",IFERROR(INDEX(Settings!$C$21:$C$34,MATCH(C292,Settings!$B$21:$B$34,0)),"Check category"))</f>
        <v/>
      </c>
      <c r="E292" s="31" t="n"/>
      <c r="F292" s="29" t="n"/>
      <c r="G292" s="29" t="n"/>
      <c r="H292" s="30">
        <f>IF(A292="","",IFERROR(LOOKUP(A292,Settings!$C$14:$C$17,Settings!$B$14:$B$17),"Pre-MS1"))</f>
        <v/>
      </c>
      <c r="I292" s="32">
        <f>IF(OR(A292="",E292=""),0,IF(D292="Expense",-E292,E292))</f>
        <v/>
      </c>
      <c r="J292" s="33">
        <f>IF(A292="","",Settings!$C$5+SUM($I$5:I292))</f>
        <v/>
      </c>
    </row>
    <row r="293">
      <c r="A293" s="28" t="n"/>
      <c r="B293" s="29" t="n"/>
      <c r="C293" s="29" t="n"/>
      <c r="D293" s="30">
        <f>IF(C293="","",IFERROR(INDEX(Settings!$C$21:$C$34,MATCH(C293,Settings!$B$21:$B$34,0)),"Check category"))</f>
        <v/>
      </c>
      <c r="E293" s="31" t="n"/>
      <c r="F293" s="29" t="n"/>
      <c r="G293" s="29" t="n"/>
      <c r="H293" s="30">
        <f>IF(A293="","",IFERROR(LOOKUP(A293,Settings!$C$14:$C$17,Settings!$B$14:$B$17),"Pre-MS1"))</f>
        <v/>
      </c>
      <c r="I293" s="32">
        <f>IF(OR(A293="",E293=""),0,IF(D293="Expense",-E293,E293))</f>
        <v/>
      </c>
      <c r="J293" s="33">
        <f>IF(A293="","",Settings!$C$5+SUM($I$5:I293))</f>
        <v/>
      </c>
    </row>
    <row r="294">
      <c r="A294" s="28" t="n"/>
      <c r="B294" s="29" t="n"/>
      <c r="C294" s="29" t="n"/>
      <c r="D294" s="30">
        <f>IF(C294="","",IFERROR(INDEX(Settings!$C$21:$C$34,MATCH(C294,Settings!$B$21:$B$34,0)),"Check category"))</f>
        <v/>
      </c>
      <c r="E294" s="31" t="n"/>
      <c r="F294" s="29" t="n"/>
      <c r="G294" s="29" t="n"/>
      <c r="H294" s="30">
        <f>IF(A294="","",IFERROR(LOOKUP(A294,Settings!$C$14:$C$17,Settings!$B$14:$B$17),"Pre-MS1"))</f>
        <v/>
      </c>
      <c r="I294" s="32">
        <f>IF(OR(A294="",E294=""),0,IF(D294="Expense",-E294,E294))</f>
        <v/>
      </c>
      <c r="J294" s="33">
        <f>IF(A294="","",Settings!$C$5+SUM($I$5:I294))</f>
        <v/>
      </c>
    </row>
    <row r="295">
      <c r="A295" s="28" t="n"/>
      <c r="B295" s="29" t="n"/>
      <c r="C295" s="29" t="n"/>
      <c r="D295" s="30">
        <f>IF(C295="","",IFERROR(INDEX(Settings!$C$21:$C$34,MATCH(C295,Settings!$B$21:$B$34,0)),"Check category"))</f>
        <v/>
      </c>
      <c r="E295" s="31" t="n"/>
      <c r="F295" s="29" t="n"/>
      <c r="G295" s="29" t="n"/>
      <c r="H295" s="30">
        <f>IF(A295="","",IFERROR(LOOKUP(A295,Settings!$C$14:$C$17,Settings!$B$14:$B$17),"Pre-MS1"))</f>
        <v/>
      </c>
      <c r="I295" s="32">
        <f>IF(OR(A295="",E295=""),0,IF(D295="Expense",-E295,E295))</f>
        <v/>
      </c>
      <c r="J295" s="33">
        <f>IF(A295="","",Settings!$C$5+SUM($I$5:I295))</f>
        <v/>
      </c>
    </row>
    <row r="296">
      <c r="A296" s="28" t="n"/>
      <c r="B296" s="29" t="n"/>
      <c r="C296" s="29" t="n"/>
      <c r="D296" s="30">
        <f>IF(C296="","",IFERROR(INDEX(Settings!$C$21:$C$34,MATCH(C296,Settings!$B$21:$B$34,0)),"Check category"))</f>
        <v/>
      </c>
      <c r="E296" s="31" t="n"/>
      <c r="F296" s="29" t="n"/>
      <c r="G296" s="29" t="n"/>
      <c r="H296" s="30">
        <f>IF(A296="","",IFERROR(LOOKUP(A296,Settings!$C$14:$C$17,Settings!$B$14:$B$17),"Pre-MS1"))</f>
        <v/>
      </c>
      <c r="I296" s="32">
        <f>IF(OR(A296="",E296=""),0,IF(D296="Expense",-E296,E296))</f>
        <v/>
      </c>
      <c r="J296" s="33">
        <f>IF(A296="","",Settings!$C$5+SUM($I$5:I296))</f>
        <v/>
      </c>
    </row>
    <row r="297">
      <c r="A297" s="28" t="n"/>
      <c r="B297" s="29" t="n"/>
      <c r="C297" s="29" t="n"/>
      <c r="D297" s="30">
        <f>IF(C297="","",IFERROR(INDEX(Settings!$C$21:$C$34,MATCH(C297,Settings!$B$21:$B$34,0)),"Check category"))</f>
        <v/>
      </c>
      <c r="E297" s="31" t="n"/>
      <c r="F297" s="29" t="n"/>
      <c r="G297" s="29" t="n"/>
      <c r="H297" s="30">
        <f>IF(A297="","",IFERROR(LOOKUP(A297,Settings!$C$14:$C$17,Settings!$B$14:$B$17),"Pre-MS1"))</f>
        <v/>
      </c>
      <c r="I297" s="32">
        <f>IF(OR(A297="",E297=""),0,IF(D297="Expense",-E297,E297))</f>
        <v/>
      </c>
      <c r="J297" s="33">
        <f>IF(A297="","",Settings!$C$5+SUM($I$5:I297))</f>
        <v/>
      </c>
    </row>
    <row r="298">
      <c r="A298" s="28" t="n"/>
      <c r="B298" s="29" t="n"/>
      <c r="C298" s="29" t="n"/>
      <c r="D298" s="30">
        <f>IF(C298="","",IFERROR(INDEX(Settings!$C$21:$C$34,MATCH(C298,Settings!$B$21:$B$34,0)),"Check category"))</f>
        <v/>
      </c>
      <c r="E298" s="31" t="n"/>
      <c r="F298" s="29" t="n"/>
      <c r="G298" s="29" t="n"/>
      <c r="H298" s="30">
        <f>IF(A298="","",IFERROR(LOOKUP(A298,Settings!$C$14:$C$17,Settings!$B$14:$B$17),"Pre-MS1"))</f>
        <v/>
      </c>
      <c r="I298" s="32">
        <f>IF(OR(A298="",E298=""),0,IF(D298="Expense",-E298,E298))</f>
        <v/>
      </c>
      <c r="J298" s="33">
        <f>IF(A298="","",Settings!$C$5+SUM($I$5:I298))</f>
        <v/>
      </c>
    </row>
    <row r="299">
      <c r="A299" s="28" t="n"/>
      <c r="B299" s="29" t="n"/>
      <c r="C299" s="29" t="n"/>
      <c r="D299" s="30">
        <f>IF(C299="","",IFERROR(INDEX(Settings!$C$21:$C$34,MATCH(C299,Settings!$B$21:$B$34,0)),"Check category"))</f>
        <v/>
      </c>
      <c r="E299" s="31" t="n"/>
      <c r="F299" s="29" t="n"/>
      <c r="G299" s="29" t="n"/>
      <c r="H299" s="30">
        <f>IF(A299="","",IFERROR(LOOKUP(A299,Settings!$C$14:$C$17,Settings!$B$14:$B$17),"Pre-MS1"))</f>
        <v/>
      </c>
      <c r="I299" s="32">
        <f>IF(OR(A299="",E299=""),0,IF(D299="Expense",-E299,E299))</f>
        <v/>
      </c>
      <c r="J299" s="33">
        <f>IF(A299="","",Settings!$C$5+SUM($I$5:I299))</f>
        <v/>
      </c>
    </row>
    <row r="300">
      <c r="A300" s="28" t="n"/>
      <c r="B300" s="29" t="n"/>
      <c r="C300" s="29" t="n"/>
      <c r="D300" s="30">
        <f>IF(C300="","",IFERROR(INDEX(Settings!$C$21:$C$34,MATCH(C300,Settings!$B$21:$B$34,0)),"Check category"))</f>
        <v/>
      </c>
      <c r="E300" s="31" t="n"/>
      <c r="F300" s="29" t="n"/>
      <c r="G300" s="29" t="n"/>
      <c r="H300" s="30">
        <f>IF(A300="","",IFERROR(LOOKUP(A300,Settings!$C$14:$C$17,Settings!$B$14:$B$17),"Pre-MS1"))</f>
        <v/>
      </c>
      <c r="I300" s="32">
        <f>IF(OR(A300="",E300=""),0,IF(D300="Expense",-E300,E300))</f>
        <v/>
      </c>
      <c r="J300" s="33">
        <f>IF(A300="","",Settings!$C$5+SUM($I$5:I300))</f>
        <v/>
      </c>
    </row>
    <row r="301">
      <c r="A301" s="28" t="n"/>
      <c r="B301" s="29" t="n"/>
      <c r="C301" s="29" t="n"/>
      <c r="D301" s="30">
        <f>IF(C301="","",IFERROR(INDEX(Settings!$C$21:$C$34,MATCH(C301,Settings!$B$21:$B$34,0)),"Check category"))</f>
        <v/>
      </c>
      <c r="E301" s="31" t="n"/>
      <c r="F301" s="29" t="n"/>
      <c r="G301" s="29" t="n"/>
      <c r="H301" s="30">
        <f>IF(A301="","",IFERROR(LOOKUP(A301,Settings!$C$14:$C$17,Settings!$B$14:$B$17),"Pre-MS1"))</f>
        <v/>
      </c>
      <c r="I301" s="32">
        <f>IF(OR(A301="",E301=""),0,IF(D301="Expense",-E301,E301))</f>
        <v/>
      </c>
      <c r="J301" s="33">
        <f>IF(A301="","",Settings!$C$5+SUM($I$5:I301))</f>
        <v/>
      </c>
    </row>
    <row r="302">
      <c r="A302" s="28" t="n"/>
      <c r="B302" s="29" t="n"/>
      <c r="C302" s="29" t="n"/>
      <c r="D302" s="30">
        <f>IF(C302="","",IFERROR(INDEX(Settings!$C$21:$C$34,MATCH(C302,Settings!$B$21:$B$34,0)),"Check category"))</f>
        <v/>
      </c>
      <c r="E302" s="31" t="n"/>
      <c r="F302" s="29" t="n"/>
      <c r="G302" s="29" t="n"/>
      <c r="H302" s="30">
        <f>IF(A302="","",IFERROR(LOOKUP(A302,Settings!$C$14:$C$17,Settings!$B$14:$B$17),"Pre-MS1"))</f>
        <v/>
      </c>
      <c r="I302" s="32">
        <f>IF(OR(A302="",E302=""),0,IF(D302="Expense",-E302,E302))</f>
        <v/>
      </c>
      <c r="J302" s="33">
        <f>IF(A302="","",Settings!$C$5+SUM($I$5:I302))</f>
        <v/>
      </c>
    </row>
    <row r="303">
      <c r="A303" s="28" t="n"/>
      <c r="B303" s="29" t="n"/>
      <c r="C303" s="29" t="n"/>
      <c r="D303" s="30">
        <f>IF(C303="","",IFERROR(INDEX(Settings!$C$21:$C$34,MATCH(C303,Settings!$B$21:$B$34,0)),"Check category"))</f>
        <v/>
      </c>
      <c r="E303" s="31" t="n"/>
      <c r="F303" s="29" t="n"/>
      <c r="G303" s="29" t="n"/>
      <c r="H303" s="30">
        <f>IF(A303="","",IFERROR(LOOKUP(A303,Settings!$C$14:$C$17,Settings!$B$14:$B$17),"Pre-MS1"))</f>
        <v/>
      </c>
      <c r="I303" s="32">
        <f>IF(OR(A303="",E303=""),0,IF(D303="Expense",-E303,E303))</f>
        <v/>
      </c>
      <c r="J303" s="33">
        <f>IF(A303="","",Settings!$C$5+SUM($I$5:I303))</f>
        <v/>
      </c>
    </row>
    <row r="304">
      <c r="A304" s="28" t="n"/>
      <c r="B304" s="29" t="n"/>
      <c r="C304" s="29" t="n"/>
      <c r="D304" s="30">
        <f>IF(C304="","",IFERROR(INDEX(Settings!$C$21:$C$34,MATCH(C304,Settings!$B$21:$B$34,0)),"Check category"))</f>
        <v/>
      </c>
      <c r="E304" s="31" t="n"/>
      <c r="F304" s="29" t="n"/>
      <c r="G304" s="29" t="n"/>
      <c r="H304" s="30">
        <f>IF(A304="","",IFERROR(LOOKUP(A304,Settings!$C$14:$C$17,Settings!$B$14:$B$17),"Pre-MS1"))</f>
        <v/>
      </c>
      <c r="I304" s="32">
        <f>IF(OR(A304="",E304=""),0,IF(D304="Expense",-E304,E304))</f>
        <v/>
      </c>
      <c r="J304" s="33">
        <f>IF(A304="","",Settings!$C$5+SUM($I$5:I304))</f>
        <v/>
      </c>
    </row>
    <row r="305">
      <c r="A305" s="28" t="n"/>
      <c r="B305" s="29" t="n"/>
      <c r="C305" s="29" t="n"/>
      <c r="D305" s="30">
        <f>IF(C305="","",IFERROR(INDEX(Settings!$C$21:$C$34,MATCH(C305,Settings!$B$21:$B$34,0)),"Check category"))</f>
        <v/>
      </c>
      <c r="E305" s="31" t="n"/>
      <c r="F305" s="29" t="n"/>
      <c r="G305" s="29" t="n"/>
      <c r="H305" s="30">
        <f>IF(A305="","",IFERROR(LOOKUP(A305,Settings!$C$14:$C$17,Settings!$B$14:$B$17),"Pre-MS1"))</f>
        <v/>
      </c>
      <c r="I305" s="32">
        <f>IF(OR(A305="",E305=""),0,IF(D305="Expense",-E305,E305))</f>
        <v/>
      </c>
      <c r="J305" s="33">
        <f>IF(A305="","",Settings!$C$5+SUM($I$5:I305))</f>
        <v/>
      </c>
    </row>
    <row r="306">
      <c r="A306" s="28" t="n"/>
      <c r="B306" s="29" t="n"/>
      <c r="C306" s="29" t="n"/>
      <c r="D306" s="30">
        <f>IF(C306="","",IFERROR(INDEX(Settings!$C$21:$C$34,MATCH(C306,Settings!$B$21:$B$34,0)),"Check category"))</f>
        <v/>
      </c>
      <c r="E306" s="31" t="n"/>
      <c r="F306" s="29" t="n"/>
      <c r="G306" s="29" t="n"/>
      <c r="H306" s="30">
        <f>IF(A306="","",IFERROR(LOOKUP(A306,Settings!$C$14:$C$17,Settings!$B$14:$B$17),"Pre-MS1"))</f>
        <v/>
      </c>
      <c r="I306" s="32">
        <f>IF(OR(A306="",E306=""),0,IF(D306="Expense",-E306,E306))</f>
        <v/>
      </c>
      <c r="J306" s="33">
        <f>IF(A306="","",Settings!$C$5+SUM($I$5:I306))</f>
        <v/>
      </c>
    </row>
    <row r="307">
      <c r="A307" s="28" t="n"/>
      <c r="B307" s="29" t="n"/>
      <c r="C307" s="29" t="n"/>
      <c r="D307" s="30">
        <f>IF(C307="","",IFERROR(INDEX(Settings!$C$21:$C$34,MATCH(C307,Settings!$B$21:$B$34,0)),"Check category"))</f>
        <v/>
      </c>
      <c r="E307" s="31" t="n"/>
      <c r="F307" s="29" t="n"/>
      <c r="G307" s="29" t="n"/>
      <c r="H307" s="30">
        <f>IF(A307="","",IFERROR(LOOKUP(A307,Settings!$C$14:$C$17,Settings!$B$14:$B$17),"Pre-MS1"))</f>
        <v/>
      </c>
      <c r="I307" s="32">
        <f>IF(OR(A307="",E307=""),0,IF(D307="Expense",-E307,E307))</f>
        <v/>
      </c>
      <c r="J307" s="33">
        <f>IF(A307="","",Settings!$C$5+SUM($I$5:I307))</f>
        <v/>
      </c>
    </row>
    <row r="308">
      <c r="A308" s="28" t="n"/>
      <c r="B308" s="29" t="n"/>
      <c r="C308" s="29" t="n"/>
      <c r="D308" s="30">
        <f>IF(C308="","",IFERROR(INDEX(Settings!$C$21:$C$34,MATCH(C308,Settings!$B$21:$B$34,0)),"Check category"))</f>
        <v/>
      </c>
      <c r="E308" s="31" t="n"/>
      <c r="F308" s="29" t="n"/>
      <c r="G308" s="29" t="n"/>
      <c r="H308" s="30">
        <f>IF(A308="","",IFERROR(LOOKUP(A308,Settings!$C$14:$C$17,Settings!$B$14:$B$17),"Pre-MS1"))</f>
        <v/>
      </c>
      <c r="I308" s="32">
        <f>IF(OR(A308="",E308=""),0,IF(D308="Expense",-E308,E308))</f>
        <v/>
      </c>
      <c r="J308" s="33">
        <f>IF(A308="","",Settings!$C$5+SUM($I$5:I308))</f>
        <v/>
      </c>
    </row>
    <row r="309">
      <c r="A309" s="28" t="n"/>
      <c r="B309" s="29" t="n"/>
      <c r="C309" s="29" t="n"/>
      <c r="D309" s="30">
        <f>IF(C309="","",IFERROR(INDEX(Settings!$C$21:$C$34,MATCH(C309,Settings!$B$21:$B$34,0)),"Check category"))</f>
        <v/>
      </c>
      <c r="E309" s="31" t="n"/>
      <c r="F309" s="29" t="n"/>
      <c r="G309" s="29" t="n"/>
      <c r="H309" s="30">
        <f>IF(A309="","",IFERROR(LOOKUP(A309,Settings!$C$14:$C$17,Settings!$B$14:$B$17),"Pre-MS1"))</f>
        <v/>
      </c>
      <c r="I309" s="32">
        <f>IF(OR(A309="",E309=""),0,IF(D309="Expense",-E309,E309))</f>
        <v/>
      </c>
      <c r="J309" s="33">
        <f>IF(A309="","",Settings!$C$5+SUM($I$5:I309))</f>
        <v/>
      </c>
    </row>
    <row r="310">
      <c r="A310" s="28" t="n"/>
      <c r="B310" s="29" t="n"/>
      <c r="C310" s="29" t="n"/>
      <c r="D310" s="30">
        <f>IF(C310="","",IFERROR(INDEX(Settings!$C$21:$C$34,MATCH(C310,Settings!$B$21:$B$34,0)),"Check category"))</f>
        <v/>
      </c>
      <c r="E310" s="31" t="n"/>
      <c r="F310" s="29" t="n"/>
      <c r="G310" s="29" t="n"/>
      <c r="H310" s="30">
        <f>IF(A310="","",IFERROR(LOOKUP(A310,Settings!$C$14:$C$17,Settings!$B$14:$B$17),"Pre-MS1"))</f>
        <v/>
      </c>
      <c r="I310" s="32">
        <f>IF(OR(A310="",E310=""),0,IF(D310="Expense",-E310,E310))</f>
        <v/>
      </c>
      <c r="J310" s="33">
        <f>IF(A310="","",Settings!$C$5+SUM($I$5:I310))</f>
        <v/>
      </c>
    </row>
    <row r="311">
      <c r="A311" s="28" t="n"/>
      <c r="B311" s="29" t="n"/>
      <c r="C311" s="29" t="n"/>
      <c r="D311" s="30">
        <f>IF(C311="","",IFERROR(INDEX(Settings!$C$21:$C$34,MATCH(C311,Settings!$B$21:$B$34,0)),"Check category"))</f>
        <v/>
      </c>
      <c r="E311" s="31" t="n"/>
      <c r="F311" s="29" t="n"/>
      <c r="G311" s="29" t="n"/>
      <c r="H311" s="30">
        <f>IF(A311="","",IFERROR(LOOKUP(A311,Settings!$C$14:$C$17,Settings!$B$14:$B$17),"Pre-MS1"))</f>
        <v/>
      </c>
      <c r="I311" s="32">
        <f>IF(OR(A311="",E311=""),0,IF(D311="Expense",-E311,E311))</f>
        <v/>
      </c>
      <c r="J311" s="33">
        <f>IF(A311="","",Settings!$C$5+SUM($I$5:I311))</f>
        <v/>
      </c>
    </row>
    <row r="312">
      <c r="A312" s="28" t="n"/>
      <c r="B312" s="29" t="n"/>
      <c r="C312" s="29" t="n"/>
      <c r="D312" s="30">
        <f>IF(C312="","",IFERROR(INDEX(Settings!$C$21:$C$34,MATCH(C312,Settings!$B$21:$B$34,0)),"Check category"))</f>
        <v/>
      </c>
      <c r="E312" s="31" t="n"/>
      <c r="F312" s="29" t="n"/>
      <c r="G312" s="29" t="n"/>
      <c r="H312" s="30">
        <f>IF(A312="","",IFERROR(LOOKUP(A312,Settings!$C$14:$C$17,Settings!$B$14:$B$17),"Pre-MS1"))</f>
        <v/>
      </c>
      <c r="I312" s="32">
        <f>IF(OR(A312="",E312=""),0,IF(D312="Expense",-E312,E312))</f>
        <v/>
      </c>
      <c r="J312" s="33">
        <f>IF(A312="","",Settings!$C$5+SUM($I$5:I312))</f>
        <v/>
      </c>
    </row>
    <row r="313">
      <c r="A313" s="28" t="n"/>
      <c r="B313" s="29" t="n"/>
      <c r="C313" s="29" t="n"/>
      <c r="D313" s="30">
        <f>IF(C313="","",IFERROR(INDEX(Settings!$C$21:$C$34,MATCH(C313,Settings!$B$21:$B$34,0)),"Check category"))</f>
        <v/>
      </c>
      <c r="E313" s="31" t="n"/>
      <c r="F313" s="29" t="n"/>
      <c r="G313" s="29" t="n"/>
      <c r="H313" s="30">
        <f>IF(A313="","",IFERROR(LOOKUP(A313,Settings!$C$14:$C$17,Settings!$B$14:$B$17),"Pre-MS1"))</f>
        <v/>
      </c>
      <c r="I313" s="32">
        <f>IF(OR(A313="",E313=""),0,IF(D313="Expense",-E313,E313))</f>
        <v/>
      </c>
      <c r="J313" s="33">
        <f>IF(A313="","",Settings!$C$5+SUM($I$5:I313))</f>
        <v/>
      </c>
    </row>
    <row r="314">
      <c r="A314" s="28" t="n"/>
      <c r="B314" s="29" t="n"/>
      <c r="C314" s="29" t="n"/>
      <c r="D314" s="30">
        <f>IF(C314="","",IFERROR(INDEX(Settings!$C$21:$C$34,MATCH(C314,Settings!$B$21:$B$34,0)),"Check category"))</f>
        <v/>
      </c>
      <c r="E314" s="31" t="n"/>
      <c r="F314" s="29" t="n"/>
      <c r="G314" s="29" t="n"/>
      <c r="H314" s="30">
        <f>IF(A314="","",IFERROR(LOOKUP(A314,Settings!$C$14:$C$17,Settings!$B$14:$B$17),"Pre-MS1"))</f>
        <v/>
      </c>
      <c r="I314" s="32">
        <f>IF(OR(A314="",E314=""),0,IF(D314="Expense",-E314,E314))</f>
        <v/>
      </c>
      <c r="J314" s="33">
        <f>IF(A314="","",Settings!$C$5+SUM($I$5:I314))</f>
        <v/>
      </c>
    </row>
    <row r="315">
      <c r="A315" s="28" t="n"/>
      <c r="B315" s="29" t="n"/>
      <c r="C315" s="29" t="n"/>
      <c r="D315" s="30">
        <f>IF(C315="","",IFERROR(INDEX(Settings!$C$21:$C$34,MATCH(C315,Settings!$B$21:$B$34,0)),"Check category"))</f>
        <v/>
      </c>
      <c r="E315" s="31" t="n"/>
      <c r="F315" s="29" t="n"/>
      <c r="G315" s="29" t="n"/>
      <c r="H315" s="30">
        <f>IF(A315="","",IFERROR(LOOKUP(A315,Settings!$C$14:$C$17,Settings!$B$14:$B$17),"Pre-MS1"))</f>
        <v/>
      </c>
      <c r="I315" s="32">
        <f>IF(OR(A315="",E315=""),0,IF(D315="Expense",-E315,E315))</f>
        <v/>
      </c>
      <c r="J315" s="33">
        <f>IF(A315="","",Settings!$C$5+SUM($I$5:I315))</f>
        <v/>
      </c>
    </row>
    <row r="316">
      <c r="A316" s="28" t="n"/>
      <c r="B316" s="29" t="n"/>
      <c r="C316" s="29" t="n"/>
      <c r="D316" s="30">
        <f>IF(C316="","",IFERROR(INDEX(Settings!$C$21:$C$34,MATCH(C316,Settings!$B$21:$B$34,0)),"Check category"))</f>
        <v/>
      </c>
      <c r="E316" s="31" t="n"/>
      <c r="F316" s="29" t="n"/>
      <c r="G316" s="29" t="n"/>
      <c r="H316" s="30">
        <f>IF(A316="","",IFERROR(LOOKUP(A316,Settings!$C$14:$C$17,Settings!$B$14:$B$17),"Pre-MS1"))</f>
        <v/>
      </c>
      <c r="I316" s="32">
        <f>IF(OR(A316="",E316=""),0,IF(D316="Expense",-E316,E316))</f>
        <v/>
      </c>
      <c r="J316" s="33">
        <f>IF(A316="","",Settings!$C$5+SUM($I$5:I316))</f>
        <v/>
      </c>
    </row>
    <row r="317">
      <c r="A317" s="28" t="n"/>
      <c r="B317" s="29" t="n"/>
      <c r="C317" s="29" t="n"/>
      <c r="D317" s="30">
        <f>IF(C317="","",IFERROR(INDEX(Settings!$C$21:$C$34,MATCH(C317,Settings!$B$21:$B$34,0)),"Check category"))</f>
        <v/>
      </c>
      <c r="E317" s="31" t="n"/>
      <c r="F317" s="29" t="n"/>
      <c r="G317" s="29" t="n"/>
      <c r="H317" s="30">
        <f>IF(A317="","",IFERROR(LOOKUP(A317,Settings!$C$14:$C$17,Settings!$B$14:$B$17),"Pre-MS1"))</f>
        <v/>
      </c>
      <c r="I317" s="32">
        <f>IF(OR(A317="",E317=""),0,IF(D317="Expense",-E317,E317))</f>
        <v/>
      </c>
      <c r="J317" s="33">
        <f>IF(A317="","",Settings!$C$5+SUM($I$5:I317))</f>
        <v/>
      </c>
    </row>
    <row r="318">
      <c r="A318" s="28" t="n"/>
      <c r="B318" s="29" t="n"/>
      <c r="C318" s="29" t="n"/>
      <c r="D318" s="30">
        <f>IF(C318="","",IFERROR(INDEX(Settings!$C$21:$C$34,MATCH(C318,Settings!$B$21:$B$34,0)),"Check category"))</f>
        <v/>
      </c>
      <c r="E318" s="31" t="n"/>
      <c r="F318" s="29" t="n"/>
      <c r="G318" s="29" t="n"/>
      <c r="H318" s="30">
        <f>IF(A318="","",IFERROR(LOOKUP(A318,Settings!$C$14:$C$17,Settings!$B$14:$B$17),"Pre-MS1"))</f>
        <v/>
      </c>
      <c r="I318" s="32">
        <f>IF(OR(A318="",E318=""),0,IF(D318="Expense",-E318,E318))</f>
        <v/>
      </c>
      <c r="J318" s="33">
        <f>IF(A318="","",Settings!$C$5+SUM($I$5:I318))</f>
        <v/>
      </c>
    </row>
    <row r="319">
      <c r="A319" s="28" t="n"/>
      <c r="B319" s="29" t="n"/>
      <c r="C319" s="29" t="n"/>
      <c r="D319" s="30">
        <f>IF(C319="","",IFERROR(INDEX(Settings!$C$21:$C$34,MATCH(C319,Settings!$B$21:$B$34,0)),"Check category"))</f>
        <v/>
      </c>
      <c r="E319" s="31" t="n"/>
      <c r="F319" s="29" t="n"/>
      <c r="G319" s="29" t="n"/>
      <c r="H319" s="30">
        <f>IF(A319="","",IFERROR(LOOKUP(A319,Settings!$C$14:$C$17,Settings!$B$14:$B$17),"Pre-MS1"))</f>
        <v/>
      </c>
      <c r="I319" s="32">
        <f>IF(OR(A319="",E319=""),0,IF(D319="Expense",-E319,E319))</f>
        <v/>
      </c>
      <c r="J319" s="33">
        <f>IF(A319="","",Settings!$C$5+SUM($I$5:I319))</f>
        <v/>
      </c>
    </row>
    <row r="320">
      <c r="A320" s="28" t="n"/>
      <c r="B320" s="29" t="n"/>
      <c r="C320" s="29" t="n"/>
      <c r="D320" s="30">
        <f>IF(C320="","",IFERROR(INDEX(Settings!$C$21:$C$34,MATCH(C320,Settings!$B$21:$B$34,0)),"Check category"))</f>
        <v/>
      </c>
      <c r="E320" s="31" t="n"/>
      <c r="F320" s="29" t="n"/>
      <c r="G320" s="29" t="n"/>
      <c r="H320" s="30">
        <f>IF(A320="","",IFERROR(LOOKUP(A320,Settings!$C$14:$C$17,Settings!$B$14:$B$17),"Pre-MS1"))</f>
        <v/>
      </c>
      <c r="I320" s="32">
        <f>IF(OR(A320="",E320=""),0,IF(D320="Expense",-E320,E320))</f>
        <v/>
      </c>
      <c r="J320" s="33">
        <f>IF(A320="","",Settings!$C$5+SUM($I$5:I320))</f>
        <v/>
      </c>
    </row>
    <row r="321">
      <c r="A321" s="28" t="n"/>
      <c r="B321" s="29" t="n"/>
      <c r="C321" s="29" t="n"/>
      <c r="D321" s="30">
        <f>IF(C321="","",IFERROR(INDEX(Settings!$C$21:$C$34,MATCH(C321,Settings!$B$21:$B$34,0)),"Check category"))</f>
        <v/>
      </c>
      <c r="E321" s="31" t="n"/>
      <c r="F321" s="29" t="n"/>
      <c r="G321" s="29" t="n"/>
      <c r="H321" s="30">
        <f>IF(A321="","",IFERROR(LOOKUP(A321,Settings!$C$14:$C$17,Settings!$B$14:$B$17),"Pre-MS1"))</f>
        <v/>
      </c>
      <c r="I321" s="32">
        <f>IF(OR(A321="",E321=""),0,IF(D321="Expense",-E321,E321))</f>
        <v/>
      </c>
      <c r="J321" s="33">
        <f>IF(A321="","",Settings!$C$5+SUM($I$5:I321))</f>
        <v/>
      </c>
    </row>
    <row r="322">
      <c r="A322" s="28" t="n"/>
      <c r="B322" s="29" t="n"/>
      <c r="C322" s="29" t="n"/>
      <c r="D322" s="30">
        <f>IF(C322="","",IFERROR(INDEX(Settings!$C$21:$C$34,MATCH(C322,Settings!$B$21:$B$34,0)),"Check category"))</f>
        <v/>
      </c>
      <c r="E322" s="31" t="n"/>
      <c r="F322" s="29" t="n"/>
      <c r="G322" s="29" t="n"/>
      <c r="H322" s="30">
        <f>IF(A322="","",IFERROR(LOOKUP(A322,Settings!$C$14:$C$17,Settings!$B$14:$B$17),"Pre-MS1"))</f>
        <v/>
      </c>
      <c r="I322" s="32">
        <f>IF(OR(A322="",E322=""),0,IF(D322="Expense",-E322,E322))</f>
        <v/>
      </c>
      <c r="J322" s="33">
        <f>IF(A322="","",Settings!$C$5+SUM($I$5:I322))</f>
        <v/>
      </c>
    </row>
    <row r="323">
      <c r="A323" s="28" t="n"/>
      <c r="B323" s="29" t="n"/>
      <c r="C323" s="29" t="n"/>
      <c r="D323" s="30">
        <f>IF(C323="","",IFERROR(INDEX(Settings!$C$21:$C$34,MATCH(C323,Settings!$B$21:$B$34,0)),"Check category"))</f>
        <v/>
      </c>
      <c r="E323" s="31" t="n"/>
      <c r="F323" s="29" t="n"/>
      <c r="G323" s="29" t="n"/>
      <c r="H323" s="30">
        <f>IF(A323="","",IFERROR(LOOKUP(A323,Settings!$C$14:$C$17,Settings!$B$14:$B$17),"Pre-MS1"))</f>
        <v/>
      </c>
      <c r="I323" s="32">
        <f>IF(OR(A323="",E323=""),0,IF(D323="Expense",-E323,E323))</f>
        <v/>
      </c>
      <c r="J323" s="33">
        <f>IF(A323="","",Settings!$C$5+SUM($I$5:I323))</f>
        <v/>
      </c>
    </row>
    <row r="324">
      <c r="A324" s="28" t="n"/>
      <c r="B324" s="29" t="n"/>
      <c r="C324" s="29" t="n"/>
      <c r="D324" s="30">
        <f>IF(C324="","",IFERROR(INDEX(Settings!$C$21:$C$34,MATCH(C324,Settings!$B$21:$B$34,0)),"Check category"))</f>
        <v/>
      </c>
      <c r="E324" s="31" t="n"/>
      <c r="F324" s="29" t="n"/>
      <c r="G324" s="29" t="n"/>
      <c r="H324" s="30">
        <f>IF(A324="","",IFERROR(LOOKUP(A324,Settings!$C$14:$C$17,Settings!$B$14:$B$17),"Pre-MS1"))</f>
        <v/>
      </c>
      <c r="I324" s="32">
        <f>IF(OR(A324="",E324=""),0,IF(D324="Expense",-E324,E324))</f>
        <v/>
      </c>
      <c r="J324" s="33">
        <f>IF(A324="","",Settings!$C$5+SUM($I$5:I324))</f>
        <v/>
      </c>
    </row>
    <row r="325">
      <c r="A325" s="28" t="n"/>
      <c r="B325" s="29" t="n"/>
      <c r="C325" s="29" t="n"/>
      <c r="D325" s="30">
        <f>IF(C325="","",IFERROR(INDEX(Settings!$C$21:$C$34,MATCH(C325,Settings!$B$21:$B$34,0)),"Check category"))</f>
        <v/>
      </c>
      <c r="E325" s="31" t="n"/>
      <c r="F325" s="29" t="n"/>
      <c r="G325" s="29" t="n"/>
      <c r="H325" s="30">
        <f>IF(A325="","",IFERROR(LOOKUP(A325,Settings!$C$14:$C$17,Settings!$B$14:$B$17),"Pre-MS1"))</f>
        <v/>
      </c>
      <c r="I325" s="32">
        <f>IF(OR(A325="",E325=""),0,IF(D325="Expense",-E325,E325))</f>
        <v/>
      </c>
      <c r="J325" s="33">
        <f>IF(A325="","",Settings!$C$5+SUM($I$5:I325))</f>
        <v/>
      </c>
    </row>
    <row r="326">
      <c r="A326" s="28" t="n"/>
      <c r="B326" s="29" t="n"/>
      <c r="C326" s="29" t="n"/>
      <c r="D326" s="30">
        <f>IF(C326="","",IFERROR(INDEX(Settings!$C$21:$C$34,MATCH(C326,Settings!$B$21:$B$34,0)),"Check category"))</f>
        <v/>
      </c>
      <c r="E326" s="31" t="n"/>
      <c r="F326" s="29" t="n"/>
      <c r="G326" s="29" t="n"/>
      <c r="H326" s="30">
        <f>IF(A326="","",IFERROR(LOOKUP(A326,Settings!$C$14:$C$17,Settings!$B$14:$B$17),"Pre-MS1"))</f>
        <v/>
      </c>
      <c r="I326" s="32">
        <f>IF(OR(A326="",E326=""),0,IF(D326="Expense",-E326,E326))</f>
        <v/>
      </c>
      <c r="J326" s="33">
        <f>IF(A326="","",Settings!$C$5+SUM($I$5:I326))</f>
        <v/>
      </c>
    </row>
    <row r="327">
      <c r="A327" s="28" t="n"/>
      <c r="B327" s="29" t="n"/>
      <c r="C327" s="29" t="n"/>
      <c r="D327" s="30">
        <f>IF(C327="","",IFERROR(INDEX(Settings!$C$21:$C$34,MATCH(C327,Settings!$B$21:$B$34,0)),"Check category"))</f>
        <v/>
      </c>
      <c r="E327" s="31" t="n"/>
      <c r="F327" s="29" t="n"/>
      <c r="G327" s="29" t="n"/>
      <c r="H327" s="30">
        <f>IF(A327="","",IFERROR(LOOKUP(A327,Settings!$C$14:$C$17,Settings!$B$14:$B$17),"Pre-MS1"))</f>
        <v/>
      </c>
      <c r="I327" s="32">
        <f>IF(OR(A327="",E327=""),0,IF(D327="Expense",-E327,E327))</f>
        <v/>
      </c>
      <c r="J327" s="33">
        <f>IF(A327="","",Settings!$C$5+SUM($I$5:I327))</f>
        <v/>
      </c>
    </row>
    <row r="328">
      <c r="A328" s="28" t="n"/>
      <c r="B328" s="29" t="n"/>
      <c r="C328" s="29" t="n"/>
      <c r="D328" s="30">
        <f>IF(C328="","",IFERROR(INDEX(Settings!$C$21:$C$34,MATCH(C328,Settings!$B$21:$B$34,0)),"Check category"))</f>
        <v/>
      </c>
      <c r="E328" s="31" t="n"/>
      <c r="F328" s="29" t="n"/>
      <c r="G328" s="29" t="n"/>
      <c r="H328" s="30">
        <f>IF(A328="","",IFERROR(LOOKUP(A328,Settings!$C$14:$C$17,Settings!$B$14:$B$17),"Pre-MS1"))</f>
        <v/>
      </c>
      <c r="I328" s="32">
        <f>IF(OR(A328="",E328=""),0,IF(D328="Expense",-E328,E328))</f>
        <v/>
      </c>
      <c r="J328" s="33">
        <f>IF(A328="","",Settings!$C$5+SUM($I$5:I328))</f>
        <v/>
      </c>
    </row>
    <row r="329">
      <c r="A329" s="28" t="n"/>
      <c r="B329" s="29" t="n"/>
      <c r="C329" s="29" t="n"/>
      <c r="D329" s="30">
        <f>IF(C329="","",IFERROR(INDEX(Settings!$C$21:$C$34,MATCH(C329,Settings!$B$21:$B$34,0)),"Check category"))</f>
        <v/>
      </c>
      <c r="E329" s="31" t="n"/>
      <c r="F329" s="29" t="n"/>
      <c r="G329" s="29" t="n"/>
      <c r="H329" s="30">
        <f>IF(A329="","",IFERROR(LOOKUP(A329,Settings!$C$14:$C$17,Settings!$B$14:$B$17),"Pre-MS1"))</f>
        <v/>
      </c>
      <c r="I329" s="32">
        <f>IF(OR(A329="",E329=""),0,IF(D329="Expense",-E329,E329))</f>
        <v/>
      </c>
      <c r="J329" s="33">
        <f>IF(A329="","",Settings!$C$5+SUM($I$5:I329))</f>
        <v/>
      </c>
    </row>
    <row r="330">
      <c r="A330" s="28" t="n"/>
      <c r="B330" s="29" t="n"/>
      <c r="C330" s="29" t="n"/>
      <c r="D330" s="30">
        <f>IF(C330="","",IFERROR(INDEX(Settings!$C$21:$C$34,MATCH(C330,Settings!$B$21:$B$34,0)),"Check category"))</f>
        <v/>
      </c>
      <c r="E330" s="31" t="n"/>
      <c r="F330" s="29" t="n"/>
      <c r="G330" s="29" t="n"/>
      <c r="H330" s="30">
        <f>IF(A330="","",IFERROR(LOOKUP(A330,Settings!$C$14:$C$17,Settings!$B$14:$B$17),"Pre-MS1"))</f>
        <v/>
      </c>
      <c r="I330" s="32">
        <f>IF(OR(A330="",E330=""),0,IF(D330="Expense",-E330,E330))</f>
        <v/>
      </c>
      <c r="J330" s="33">
        <f>IF(A330="","",Settings!$C$5+SUM($I$5:I330))</f>
        <v/>
      </c>
    </row>
    <row r="331">
      <c r="A331" s="28" t="n"/>
      <c r="B331" s="29" t="n"/>
      <c r="C331" s="29" t="n"/>
      <c r="D331" s="30">
        <f>IF(C331="","",IFERROR(INDEX(Settings!$C$21:$C$34,MATCH(C331,Settings!$B$21:$B$34,0)),"Check category"))</f>
        <v/>
      </c>
      <c r="E331" s="31" t="n"/>
      <c r="F331" s="29" t="n"/>
      <c r="G331" s="29" t="n"/>
      <c r="H331" s="30">
        <f>IF(A331="","",IFERROR(LOOKUP(A331,Settings!$C$14:$C$17,Settings!$B$14:$B$17),"Pre-MS1"))</f>
        <v/>
      </c>
      <c r="I331" s="32">
        <f>IF(OR(A331="",E331=""),0,IF(D331="Expense",-E331,E331))</f>
        <v/>
      </c>
      <c r="J331" s="33">
        <f>IF(A331="","",Settings!$C$5+SUM($I$5:I331))</f>
        <v/>
      </c>
    </row>
    <row r="332">
      <c r="A332" s="28" t="n"/>
      <c r="B332" s="29" t="n"/>
      <c r="C332" s="29" t="n"/>
      <c r="D332" s="30">
        <f>IF(C332="","",IFERROR(INDEX(Settings!$C$21:$C$34,MATCH(C332,Settings!$B$21:$B$34,0)),"Check category"))</f>
        <v/>
      </c>
      <c r="E332" s="31" t="n"/>
      <c r="F332" s="29" t="n"/>
      <c r="G332" s="29" t="n"/>
      <c r="H332" s="30">
        <f>IF(A332="","",IFERROR(LOOKUP(A332,Settings!$C$14:$C$17,Settings!$B$14:$B$17),"Pre-MS1"))</f>
        <v/>
      </c>
      <c r="I332" s="32">
        <f>IF(OR(A332="",E332=""),0,IF(D332="Expense",-E332,E332))</f>
        <v/>
      </c>
      <c r="J332" s="33">
        <f>IF(A332="","",Settings!$C$5+SUM($I$5:I332))</f>
        <v/>
      </c>
    </row>
    <row r="333">
      <c r="A333" s="28" t="n"/>
      <c r="B333" s="29" t="n"/>
      <c r="C333" s="29" t="n"/>
      <c r="D333" s="30">
        <f>IF(C333="","",IFERROR(INDEX(Settings!$C$21:$C$34,MATCH(C333,Settings!$B$21:$B$34,0)),"Check category"))</f>
        <v/>
      </c>
      <c r="E333" s="31" t="n"/>
      <c r="F333" s="29" t="n"/>
      <c r="G333" s="29" t="n"/>
      <c r="H333" s="30">
        <f>IF(A333="","",IFERROR(LOOKUP(A333,Settings!$C$14:$C$17,Settings!$B$14:$B$17),"Pre-MS1"))</f>
        <v/>
      </c>
      <c r="I333" s="32">
        <f>IF(OR(A333="",E333=""),0,IF(D333="Expense",-E333,E333))</f>
        <v/>
      </c>
      <c r="J333" s="33">
        <f>IF(A333="","",Settings!$C$5+SUM($I$5:I333))</f>
        <v/>
      </c>
    </row>
    <row r="334">
      <c r="A334" s="28" t="n"/>
      <c r="B334" s="29" t="n"/>
      <c r="C334" s="29" t="n"/>
      <c r="D334" s="30">
        <f>IF(C334="","",IFERROR(INDEX(Settings!$C$21:$C$34,MATCH(C334,Settings!$B$21:$B$34,0)),"Check category"))</f>
        <v/>
      </c>
      <c r="E334" s="31" t="n"/>
      <c r="F334" s="29" t="n"/>
      <c r="G334" s="29" t="n"/>
      <c r="H334" s="30">
        <f>IF(A334="","",IFERROR(LOOKUP(A334,Settings!$C$14:$C$17,Settings!$B$14:$B$17),"Pre-MS1"))</f>
        <v/>
      </c>
      <c r="I334" s="32">
        <f>IF(OR(A334="",E334=""),0,IF(D334="Expense",-E334,E334))</f>
        <v/>
      </c>
      <c r="J334" s="33">
        <f>IF(A334="","",Settings!$C$5+SUM($I$5:I334))</f>
        <v/>
      </c>
    </row>
    <row r="335">
      <c r="A335" s="28" t="n"/>
      <c r="B335" s="29" t="n"/>
      <c r="C335" s="29" t="n"/>
      <c r="D335" s="30">
        <f>IF(C335="","",IFERROR(INDEX(Settings!$C$21:$C$34,MATCH(C335,Settings!$B$21:$B$34,0)),"Check category"))</f>
        <v/>
      </c>
      <c r="E335" s="31" t="n"/>
      <c r="F335" s="29" t="n"/>
      <c r="G335" s="29" t="n"/>
      <c r="H335" s="30">
        <f>IF(A335="","",IFERROR(LOOKUP(A335,Settings!$C$14:$C$17,Settings!$B$14:$B$17),"Pre-MS1"))</f>
        <v/>
      </c>
      <c r="I335" s="32">
        <f>IF(OR(A335="",E335=""),0,IF(D335="Expense",-E335,E335))</f>
        <v/>
      </c>
      <c r="J335" s="33">
        <f>IF(A335="","",Settings!$C$5+SUM($I$5:I335))</f>
        <v/>
      </c>
    </row>
    <row r="336">
      <c r="A336" s="28" t="n"/>
      <c r="B336" s="29" t="n"/>
      <c r="C336" s="29" t="n"/>
      <c r="D336" s="30">
        <f>IF(C336="","",IFERROR(INDEX(Settings!$C$21:$C$34,MATCH(C336,Settings!$B$21:$B$34,0)),"Check category"))</f>
        <v/>
      </c>
      <c r="E336" s="31" t="n"/>
      <c r="F336" s="29" t="n"/>
      <c r="G336" s="29" t="n"/>
      <c r="H336" s="30">
        <f>IF(A336="","",IFERROR(LOOKUP(A336,Settings!$C$14:$C$17,Settings!$B$14:$B$17),"Pre-MS1"))</f>
        <v/>
      </c>
      <c r="I336" s="32">
        <f>IF(OR(A336="",E336=""),0,IF(D336="Expense",-E336,E336))</f>
        <v/>
      </c>
      <c r="J336" s="33">
        <f>IF(A336="","",Settings!$C$5+SUM($I$5:I336))</f>
        <v/>
      </c>
    </row>
    <row r="337">
      <c r="A337" s="28" t="n"/>
      <c r="B337" s="29" t="n"/>
      <c r="C337" s="29" t="n"/>
      <c r="D337" s="30">
        <f>IF(C337="","",IFERROR(INDEX(Settings!$C$21:$C$34,MATCH(C337,Settings!$B$21:$B$34,0)),"Check category"))</f>
        <v/>
      </c>
      <c r="E337" s="31" t="n"/>
      <c r="F337" s="29" t="n"/>
      <c r="G337" s="29" t="n"/>
      <c r="H337" s="30">
        <f>IF(A337="","",IFERROR(LOOKUP(A337,Settings!$C$14:$C$17,Settings!$B$14:$B$17),"Pre-MS1"))</f>
        <v/>
      </c>
      <c r="I337" s="32">
        <f>IF(OR(A337="",E337=""),0,IF(D337="Expense",-E337,E337))</f>
        <v/>
      </c>
      <c r="J337" s="33">
        <f>IF(A337="","",Settings!$C$5+SUM($I$5:I337))</f>
        <v/>
      </c>
    </row>
    <row r="338">
      <c r="A338" s="28" t="n"/>
      <c r="B338" s="29" t="n"/>
      <c r="C338" s="29" t="n"/>
      <c r="D338" s="30">
        <f>IF(C338="","",IFERROR(INDEX(Settings!$C$21:$C$34,MATCH(C338,Settings!$B$21:$B$34,0)),"Check category"))</f>
        <v/>
      </c>
      <c r="E338" s="31" t="n"/>
      <c r="F338" s="29" t="n"/>
      <c r="G338" s="29" t="n"/>
      <c r="H338" s="30">
        <f>IF(A338="","",IFERROR(LOOKUP(A338,Settings!$C$14:$C$17,Settings!$B$14:$B$17),"Pre-MS1"))</f>
        <v/>
      </c>
      <c r="I338" s="32">
        <f>IF(OR(A338="",E338=""),0,IF(D338="Expense",-E338,E338))</f>
        <v/>
      </c>
      <c r="J338" s="33">
        <f>IF(A338="","",Settings!$C$5+SUM($I$5:I338))</f>
        <v/>
      </c>
    </row>
    <row r="339">
      <c r="A339" s="28" t="n"/>
      <c r="B339" s="29" t="n"/>
      <c r="C339" s="29" t="n"/>
      <c r="D339" s="30">
        <f>IF(C339="","",IFERROR(INDEX(Settings!$C$21:$C$34,MATCH(C339,Settings!$B$21:$B$34,0)),"Check category"))</f>
        <v/>
      </c>
      <c r="E339" s="31" t="n"/>
      <c r="F339" s="29" t="n"/>
      <c r="G339" s="29" t="n"/>
      <c r="H339" s="30">
        <f>IF(A339="","",IFERROR(LOOKUP(A339,Settings!$C$14:$C$17,Settings!$B$14:$B$17),"Pre-MS1"))</f>
        <v/>
      </c>
      <c r="I339" s="32">
        <f>IF(OR(A339="",E339=""),0,IF(D339="Expense",-E339,E339))</f>
        <v/>
      </c>
      <c r="J339" s="33">
        <f>IF(A339="","",Settings!$C$5+SUM($I$5:I339))</f>
        <v/>
      </c>
    </row>
    <row r="340">
      <c r="A340" s="28" t="n"/>
      <c r="B340" s="29" t="n"/>
      <c r="C340" s="29" t="n"/>
      <c r="D340" s="30">
        <f>IF(C340="","",IFERROR(INDEX(Settings!$C$21:$C$34,MATCH(C340,Settings!$B$21:$B$34,0)),"Check category"))</f>
        <v/>
      </c>
      <c r="E340" s="31" t="n"/>
      <c r="F340" s="29" t="n"/>
      <c r="G340" s="29" t="n"/>
      <c r="H340" s="30">
        <f>IF(A340="","",IFERROR(LOOKUP(A340,Settings!$C$14:$C$17,Settings!$B$14:$B$17),"Pre-MS1"))</f>
        <v/>
      </c>
      <c r="I340" s="32">
        <f>IF(OR(A340="",E340=""),0,IF(D340="Expense",-E340,E340))</f>
        <v/>
      </c>
      <c r="J340" s="33">
        <f>IF(A340="","",Settings!$C$5+SUM($I$5:I340))</f>
        <v/>
      </c>
    </row>
    <row r="341">
      <c r="A341" s="28" t="n"/>
      <c r="B341" s="29" t="n"/>
      <c r="C341" s="29" t="n"/>
      <c r="D341" s="30">
        <f>IF(C341="","",IFERROR(INDEX(Settings!$C$21:$C$34,MATCH(C341,Settings!$B$21:$B$34,0)),"Check category"))</f>
        <v/>
      </c>
      <c r="E341" s="31" t="n"/>
      <c r="F341" s="29" t="n"/>
      <c r="G341" s="29" t="n"/>
      <c r="H341" s="30">
        <f>IF(A341="","",IFERROR(LOOKUP(A341,Settings!$C$14:$C$17,Settings!$B$14:$B$17),"Pre-MS1"))</f>
        <v/>
      </c>
      <c r="I341" s="32">
        <f>IF(OR(A341="",E341=""),0,IF(D341="Expense",-E341,E341))</f>
        <v/>
      </c>
      <c r="J341" s="33">
        <f>IF(A341="","",Settings!$C$5+SUM($I$5:I341))</f>
        <v/>
      </c>
    </row>
    <row r="342">
      <c r="A342" s="28" t="n"/>
      <c r="B342" s="29" t="n"/>
      <c r="C342" s="29" t="n"/>
      <c r="D342" s="30">
        <f>IF(C342="","",IFERROR(INDEX(Settings!$C$21:$C$34,MATCH(C342,Settings!$B$21:$B$34,0)),"Check category"))</f>
        <v/>
      </c>
      <c r="E342" s="31" t="n"/>
      <c r="F342" s="29" t="n"/>
      <c r="G342" s="29" t="n"/>
      <c r="H342" s="30">
        <f>IF(A342="","",IFERROR(LOOKUP(A342,Settings!$C$14:$C$17,Settings!$B$14:$B$17),"Pre-MS1"))</f>
        <v/>
      </c>
      <c r="I342" s="32">
        <f>IF(OR(A342="",E342=""),0,IF(D342="Expense",-E342,E342))</f>
        <v/>
      </c>
      <c r="J342" s="33">
        <f>IF(A342="","",Settings!$C$5+SUM($I$5:I342))</f>
        <v/>
      </c>
    </row>
    <row r="343">
      <c r="A343" s="28" t="n"/>
      <c r="B343" s="29" t="n"/>
      <c r="C343" s="29" t="n"/>
      <c r="D343" s="30">
        <f>IF(C343="","",IFERROR(INDEX(Settings!$C$21:$C$34,MATCH(C343,Settings!$B$21:$B$34,0)),"Check category"))</f>
        <v/>
      </c>
      <c r="E343" s="31" t="n"/>
      <c r="F343" s="29" t="n"/>
      <c r="G343" s="29" t="n"/>
      <c r="H343" s="30">
        <f>IF(A343="","",IFERROR(LOOKUP(A343,Settings!$C$14:$C$17,Settings!$B$14:$B$17),"Pre-MS1"))</f>
        <v/>
      </c>
      <c r="I343" s="32">
        <f>IF(OR(A343="",E343=""),0,IF(D343="Expense",-E343,E343))</f>
        <v/>
      </c>
      <c r="J343" s="33">
        <f>IF(A343="","",Settings!$C$5+SUM($I$5:I343))</f>
        <v/>
      </c>
    </row>
    <row r="344">
      <c r="A344" s="28" t="n"/>
      <c r="B344" s="29" t="n"/>
      <c r="C344" s="29" t="n"/>
      <c r="D344" s="30">
        <f>IF(C344="","",IFERROR(INDEX(Settings!$C$21:$C$34,MATCH(C344,Settings!$B$21:$B$34,0)),"Check category"))</f>
        <v/>
      </c>
      <c r="E344" s="31" t="n"/>
      <c r="F344" s="29" t="n"/>
      <c r="G344" s="29" t="n"/>
      <c r="H344" s="30">
        <f>IF(A344="","",IFERROR(LOOKUP(A344,Settings!$C$14:$C$17,Settings!$B$14:$B$17),"Pre-MS1"))</f>
        <v/>
      </c>
      <c r="I344" s="32">
        <f>IF(OR(A344="",E344=""),0,IF(D344="Expense",-E344,E344))</f>
        <v/>
      </c>
      <c r="J344" s="33">
        <f>IF(A344="","",Settings!$C$5+SUM($I$5:I344))</f>
        <v/>
      </c>
    </row>
    <row r="345">
      <c r="A345" s="28" t="n"/>
      <c r="B345" s="29" t="n"/>
      <c r="C345" s="29" t="n"/>
      <c r="D345" s="30">
        <f>IF(C345="","",IFERROR(INDEX(Settings!$C$21:$C$34,MATCH(C345,Settings!$B$21:$B$34,0)),"Check category"))</f>
        <v/>
      </c>
      <c r="E345" s="31" t="n"/>
      <c r="F345" s="29" t="n"/>
      <c r="G345" s="29" t="n"/>
      <c r="H345" s="30">
        <f>IF(A345="","",IFERROR(LOOKUP(A345,Settings!$C$14:$C$17,Settings!$B$14:$B$17),"Pre-MS1"))</f>
        <v/>
      </c>
      <c r="I345" s="32">
        <f>IF(OR(A345="",E345=""),0,IF(D345="Expense",-E345,E345))</f>
        <v/>
      </c>
      <c r="J345" s="33">
        <f>IF(A345="","",Settings!$C$5+SUM($I$5:I345))</f>
        <v/>
      </c>
    </row>
    <row r="346">
      <c r="A346" s="28" t="n"/>
      <c r="B346" s="29" t="n"/>
      <c r="C346" s="29" t="n"/>
      <c r="D346" s="30">
        <f>IF(C346="","",IFERROR(INDEX(Settings!$C$21:$C$34,MATCH(C346,Settings!$B$21:$B$34,0)),"Check category"))</f>
        <v/>
      </c>
      <c r="E346" s="31" t="n"/>
      <c r="F346" s="29" t="n"/>
      <c r="G346" s="29" t="n"/>
      <c r="H346" s="30">
        <f>IF(A346="","",IFERROR(LOOKUP(A346,Settings!$C$14:$C$17,Settings!$B$14:$B$17),"Pre-MS1"))</f>
        <v/>
      </c>
      <c r="I346" s="32">
        <f>IF(OR(A346="",E346=""),0,IF(D346="Expense",-E346,E346))</f>
        <v/>
      </c>
      <c r="J346" s="33">
        <f>IF(A346="","",Settings!$C$5+SUM($I$5:I346))</f>
        <v/>
      </c>
    </row>
    <row r="347">
      <c r="A347" s="28" t="n"/>
      <c r="B347" s="29" t="n"/>
      <c r="C347" s="29" t="n"/>
      <c r="D347" s="30">
        <f>IF(C347="","",IFERROR(INDEX(Settings!$C$21:$C$34,MATCH(C347,Settings!$B$21:$B$34,0)),"Check category"))</f>
        <v/>
      </c>
      <c r="E347" s="31" t="n"/>
      <c r="F347" s="29" t="n"/>
      <c r="G347" s="29" t="n"/>
      <c r="H347" s="30">
        <f>IF(A347="","",IFERROR(LOOKUP(A347,Settings!$C$14:$C$17,Settings!$B$14:$B$17),"Pre-MS1"))</f>
        <v/>
      </c>
      <c r="I347" s="32">
        <f>IF(OR(A347="",E347=""),0,IF(D347="Expense",-E347,E347))</f>
        <v/>
      </c>
      <c r="J347" s="33">
        <f>IF(A347="","",Settings!$C$5+SUM($I$5:I347))</f>
        <v/>
      </c>
    </row>
    <row r="348">
      <c r="A348" s="28" t="n"/>
      <c r="B348" s="29" t="n"/>
      <c r="C348" s="29" t="n"/>
      <c r="D348" s="30">
        <f>IF(C348="","",IFERROR(INDEX(Settings!$C$21:$C$34,MATCH(C348,Settings!$B$21:$B$34,0)),"Check category"))</f>
        <v/>
      </c>
      <c r="E348" s="31" t="n"/>
      <c r="F348" s="29" t="n"/>
      <c r="G348" s="29" t="n"/>
      <c r="H348" s="30">
        <f>IF(A348="","",IFERROR(LOOKUP(A348,Settings!$C$14:$C$17,Settings!$B$14:$B$17),"Pre-MS1"))</f>
        <v/>
      </c>
      <c r="I348" s="32">
        <f>IF(OR(A348="",E348=""),0,IF(D348="Expense",-E348,E348))</f>
        <v/>
      </c>
      <c r="J348" s="33">
        <f>IF(A348="","",Settings!$C$5+SUM($I$5:I348))</f>
        <v/>
      </c>
    </row>
    <row r="349">
      <c r="A349" s="28" t="n"/>
      <c r="B349" s="29" t="n"/>
      <c r="C349" s="29" t="n"/>
      <c r="D349" s="30">
        <f>IF(C349="","",IFERROR(INDEX(Settings!$C$21:$C$34,MATCH(C349,Settings!$B$21:$B$34,0)),"Check category"))</f>
        <v/>
      </c>
      <c r="E349" s="31" t="n"/>
      <c r="F349" s="29" t="n"/>
      <c r="G349" s="29" t="n"/>
      <c r="H349" s="30">
        <f>IF(A349="","",IFERROR(LOOKUP(A349,Settings!$C$14:$C$17,Settings!$B$14:$B$17),"Pre-MS1"))</f>
        <v/>
      </c>
      <c r="I349" s="32">
        <f>IF(OR(A349="",E349=""),0,IF(D349="Expense",-E349,E349))</f>
        <v/>
      </c>
      <c r="J349" s="33">
        <f>IF(A349="","",Settings!$C$5+SUM($I$5:I349))</f>
        <v/>
      </c>
    </row>
    <row r="350">
      <c r="A350" s="28" t="n"/>
      <c r="B350" s="29" t="n"/>
      <c r="C350" s="29" t="n"/>
      <c r="D350" s="30">
        <f>IF(C350="","",IFERROR(INDEX(Settings!$C$21:$C$34,MATCH(C350,Settings!$B$21:$B$34,0)),"Check category"))</f>
        <v/>
      </c>
      <c r="E350" s="31" t="n"/>
      <c r="F350" s="29" t="n"/>
      <c r="G350" s="29" t="n"/>
      <c r="H350" s="30">
        <f>IF(A350="","",IFERROR(LOOKUP(A350,Settings!$C$14:$C$17,Settings!$B$14:$B$17),"Pre-MS1"))</f>
        <v/>
      </c>
      <c r="I350" s="32">
        <f>IF(OR(A350="",E350=""),0,IF(D350="Expense",-E350,E350))</f>
        <v/>
      </c>
      <c r="J350" s="33">
        <f>IF(A350="","",Settings!$C$5+SUM($I$5:I350))</f>
        <v/>
      </c>
    </row>
    <row r="351">
      <c r="A351" s="28" t="n"/>
      <c r="B351" s="29" t="n"/>
      <c r="C351" s="29" t="n"/>
      <c r="D351" s="30">
        <f>IF(C351="","",IFERROR(INDEX(Settings!$C$21:$C$34,MATCH(C351,Settings!$B$21:$B$34,0)),"Check category"))</f>
        <v/>
      </c>
      <c r="E351" s="31" t="n"/>
      <c r="F351" s="29" t="n"/>
      <c r="G351" s="29" t="n"/>
      <c r="H351" s="30">
        <f>IF(A351="","",IFERROR(LOOKUP(A351,Settings!$C$14:$C$17,Settings!$B$14:$B$17),"Pre-MS1"))</f>
        <v/>
      </c>
      <c r="I351" s="32">
        <f>IF(OR(A351="",E351=""),0,IF(D351="Expense",-E351,E351))</f>
        <v/>
      </c>
      <c r="J351" s="33">
        <f>IF(A351="","",Settings!$C$5+SUM($I$5:I351))</f>
        <v/>
      </c>
    </row>
    <row r="352">
      <c r="A352" s="28" t="n"/>
      <c r="B352" s="29" t="n"/>
      <c r="C352" s="29" t="n"/>
      <c r="D352" s="30">
        <f>IF(C352="","",IFERROR(INDEX(Settings!$C$21:$C$34,MATCH(C352,Settings!$B$21:$B$34,0)),"Check category"))</f>
        <v/>
      </c>
      <c r="E352" s="31" t="n"/>
      <c r="F352" s="29" t="n"/>
      <c r="G352" s="29" t="n"/>
      <c r="H352" s="30">
        <f>IF(A352="","",IFERROR(LOOKUP(A352,Settings!$C$14:$C$17,Settings!$B$14:$B$17),"Pre-MS1"))</f>
        <v/>
      </c>
      <c r="I352" s="32">
        <f>IF(OR(A352="",E352=""),0,IF(D352="Expense",-E352,E352))</f>
        <v/>
      </c>
      <c r="J352" s="33">
        <f>IF(A352="","",Settings!$C$5+SUM($I$5:I352))</f>
        <v/>
      </c>
    </row>
    <row r="353">
      <c r="A353" s="28" t="n"/>
      <c r="B353" s="29" t="n"/>
      <c r="C353" s="29" t="n"/>
      <c r="D353" s="30">
        <f>IF(C353="","",IFERROR(INDEX(Settings!$C$21:$C$34,MATCH(C353,Settings!$B$21:$B$34,0)),"Check category"))</f>
        <v/>
      </c>
      <c r="E353" s="31" t="n"/>
      <c r="F353" s="29" t="n"/>
      <c r="G353" s="29" t="n"/>
      <c r="H353" s="30">
        <f>IF(A353="","",IFERROR(LOOKUP(A353,Settings!$C$14:$C$17,Settings!$B$14:$B$17),"Pre-MS1"))</f>
        <v/>
      </c>
      <c r="I353" s="32">
        <f>IF(OR(A353="",E353=""),0,IF(D353="Expense",-E353,E353))</f>
        <v/>
      </c>
      <c r="J353" s="33">
        <f>IF(A353="","",Settings!$C$5+SUM($I$5:I353))</f>
        <v/>
      </c>
    </row>
    <row r="354">
      <c r="A354" s="28" t="n"/>
      <c r="B354" s="29" t="n"/>
      <c r="C354" s="29" t="n"/>
      <c r="D354" s="30">
        <f>IF(C354="","",IFERROR(INDEX(Settings!$C$21:$C$34,MATCH(C354,Settings!$B$21:$B$34,0)),"Check category"))</f>
        <v/>
      </c>
      <c r="E354" s="31" t="n"/>
      <c r="F354" s="29" t="n"/>
      <c r="G354" s="29" t="n"/>
      <c r="H354" s="30">
        <f>IF(A354="","",IFERROR(LOOKUP(A354,Settings!$C$14:$C$17,Settings!$B$14:$B$17),"Pre-MS1"))</f>
        <v/>
      </c>
      <c r="I354" s="32">
        <f>IF(OR(A354="",E354=""),0,IF(D354="Expense",-E354,E354))</f>
        <v/>
      </c>
      <c r="J354" s="33">
        <f>IF(A354="","",Settings!$C$5+SUM($I$5:I354))</f>
        <v/>
      </c>
    </row>
    <row r="355">
      <c r="A355" s="28" t="n"/>
      <c r="B355" s="29" t="n"/>
      <c r="C355" s="29" t="n"/>
      <c r="D355" s="30">
        <f>IF(C355="","",IFERROR(INDEX(Settings!$C$21:$C$34,MATCH(C355,Settings!$B$21:$B$34,0)),"Check category"))</f>
        <v/>
      </c>
      <c r="E355" s="31" t="n"/>
      <c r="F355" s="29" t="n"/>
      <c r="G355" s="29" t="n"/>
      <c r="H355" s="30">
        <f>IF(A355="","",IFERROR(LOOKUP(A355,Settings!$C$14:$C$17,Settings!$B$14:$B$17),"Pre-MS1"))</f>
        <v/>
      </c>
      <c r="I355" s="32">
        <f>IF(OR(A355="",E355=""),0,IF(D355="Expense",-E355,E355))</f>
        <v/>
      </c>
      <c r="J355" s="33">
        <f>IF(A355="","",Settings!$C$5+SUM($I$5:I355))</f>
        <v/>
      </c>
    </row>
    <row r="356">
      <c r="A356" s="28" t="n"/>
      <c r="B356" s="29" t="n"/>
      <c r="C356" s="29" t="n"/>
      <c r="D356" s="30">
        <f>IF(C356="","",IFERROR(INDEX(Settings!$C$21:$C$34,MATCH(C356,Settings!$B$21:$B$34,0)),"Check category"))</f>
        <v/>
      </c>
      <c r="E356" s="31" t="n"/>
      <c r="F356" s="29" t="n"/>
      <c r="G356" s="29" t="n"/>
      <c r="H356" s="30">
        <f>IF(A356="","",IFERROR(LOOKUP(A356,Settings!$C$14:$C$17,Settings!$B$14:$B$17),"Pre-MS1"))</f>
        <v/>
      </c>
      <c r="I356" s="32">
        <f>IF(OR(A356="",E356=""),0,IF(D356="Expense",-E356,E356))</f>
        <v/>
      </c>
      <c r="J356" s="33">
        <f>IF(A356="","",Settings!$C$5+SUM($I$5:I356))</f>
        <v/>
      </c>
    </row>
    <row r="357">
      <c r="A357" s="28" t="n"/>
      <c r="B357" s="29" t="n"/>
      <c r="C357" s="29" t="n"/>
      <c r="D357" s="30">
        <f>IF(C357="","",IFERROR(INDEX(Settings!$C$21:$C$34,MATCH(C357,Settings!$B$21:$B$34,0)),"Check category"))</f>
        <v/>
      </c>
      <c r="E357" s="31" t="n"/>
      <c r="F357" s="29" t="n"/>
      <c r="G357" s="29" t="n"/>
      <c r="H357" s="30">
        <f>IF(A357="","",IFERROR(LOOKUP(A357,Settings!$C$14:$C$17,Settings!$B$14:$B$17),"Pre-MS1"))</f>
        <v/>
      </c>
      <c r="I357" s="32">
        <f>IF(OR(A357="",E357=""),0,IF(D357="Expense",-E357,E357))</f>
        <v/>
      </c>
      <c r="J357" s="33">
        <f>IF(A357="","",Settings!$C$5+SUM($I$5:I357))</f>
        <v/>
      </c>
    </row>
    <row r="358">
      <c r="A358" s="28" t="n"/>
      <c r="B358" s="29" t="n"/>
      <c r="C358" s="29" t="n"/>
      <c r="D358" s="30">
        <f>IF(C358="","",IFERROR(INDEX(Settings!$C$21:$C$34,MATCH(C358,Settings!$B$21:$B$34,0)),"Check category"))</f>
        <v/>
      </c>
      <c r="E358" s="31" t="n"/>
      <c r="F358" s="29" t="n"/>
      <c r="G358" s="29" t="n"/>
      <c r="H358" s="30">
        <f>IF(A358="","",IFERROR(LOOKUP(A358,Settings!$C$14:$C$17,Settings!$B$14:$B$17),"Pre-MS1"))</f>
        <v/>
      </c>
      <c r="I358" s="32">
        <f>IF(OR(A358="",E358=""),0,IF(D358="Expense",-E358,E358))</f>
        <v/>
      </c>
      <c r="J358" s="33">
        <f>IF(A358="","",Settings!$C$5+SUM($I$5:I358))</f>
        <v/>
      </c>
    </row>
    <row r="359">
      <c r="A359" s="28" t="n"/>
      <c r="B359" s="29" t="n"/>
      <c r="C359" s="29" t="n"/>
      <c r="D359" s="30">
        <f>IF(C359="","",IFERROR(INDEX(Settings!$C$21:$C$34,MATCH(C359,Settings!$B$21:$B$34,0)),"Check category"))</f>
        <v/>
      </c>
      <c r="E359" s="31" t="n"/>
      <c r="F359" s="29" t="n"/>
      <c r="G359" s="29" t="n"/>
      <c r="H359" s="30">
        <f>IF(A359="","",IFERROR(LOOKUP(A359,Settings!$C$14:$C$17,Settings!$B$14:$B$17),"Pre-MS1"))</f>
        <v/>
      </c>
      <c r="I359" s="32">
        <f>IF(OR(A359="",E359=""),0,IF(D359="Expense",-E359,E359))</f>
        <v/>
      </c>
      <c r="J359" s="33">
        <f>IF(A359="","",Settings!$C$5+SUM($I$5:I359))</f>
        <v/>
      </c>
    </row>
    <row r="360">
      <c r="A360" s="28" t="n"/>
      <c r="B360" s="29" t="n"/>
      <c r="C360" s="29" t="n"/>
      <c r="D360" s="30">
        <f>IF(C360="","",IFERROR(INDEX(Settings!$C$21:$C$34,MATCH(C360,Settings!$B$21:$B$34,0)),"Check category"))</f>
        <v/>
      </c>
      <c r="E360" s="31" t="n"/>
      <c r="F360" s="29" t="n"/>
      <c r="G360" s="29" t="n"/>
      <c r="H360" s="30">
        <f>IF(A360="","",IFERROR(LOOKUP(A360,Settings!$C$14:$C$17,Settings!$B$14:$B$17),"Pre-MS1"))</f>
        <v/>
      </c>
      <c r="I360" s="32">
        <f>IF(OR(A360="",E360=""),0,IF(D360="Expense",-E360,E360))</f>
        <v/>
      </c>
      <c r="J360" s="33">
        <f>IF(A360="","",Settings!$C$5+SUM($I$5:I360))</f>
        <v/>
      </c>
    </row>
    <row r="361">
      <c r="A361" s="28" t="n"/>
      <c r="B361" s="29" t="n"/>
      <c r="C361" s="29" t="n"/>
      <c r="D361" s="30">
        <f>IF(C361="","",IFERROR(INDEX(Settings!$C$21:$C$34,MATCH(C361,Settings!$B$21:$B$34,0)),"Check category"))</f>
        <v/>
      </c>
      <c r="E361" s="31" t="n"/>
      <c r="F361" s="29" t="n"/>
      <c r="G361" s="29" t="n"/>
      <c r="H361" s="30">
        <f>IF(A361="","",IFERROR(LOOKUP(A361,Settings!$C$14:$C$17,Settings!$B$14:$B$17),"Pre-MS1"))</f>
        <v/>
      </c>
      <c r="I361" s="32">
        <f>IF(OR(A361="",E361=""),0,IF(D361="Expense",-E361,E361))</f>
        <v/>
      </c>
      <c r="J361" s="33">
        <f>IF(A361="","",Settings!$C$5+SUM($I$5:I361))</f>
        <v/>
      </c>
    </row>
    <row r="362">
      <c r="A362" s="28" t="n"/>
      <c r="B362" s="29" t="n"/>
      <c r="C362" s="29" t="n"/>
      <c r="D362" s="30">
        <f>IF(C362="","",IFERROR(INDEX(Settings!$C$21:$C$34,MATCH(C362,Settings!$B$21:$B$34,0)),"Check category"))</f>
        <v/>
      </c>
      <c r="E362" s="31" t="n"/>
      <c r="F362" s="29" t="n"/>
      <c r="G362" s="29" t="n"/>
      <c r="H362" s="30">
        <f>IF(A362="","",IFERROR(LOOKUP(A362,Settings!$C$14:$C$17,Settings!$B$14:$B$17),"Pre-MS1"))</f>
        <v/>
      </c>
      <c r="I362" s="32">
        <f>IF(OR(A362="",E362=""),0,IF(D362="Expense",-E362,E362))</f>
        <v/>
      </c>
      <c r="J362" s="33">
        <f>IF(A362="","",Settings!$C$5+SUM($I$5:I362))</f>
        <v/>
      </c>
    </row>
    <row r="363">
      <c r="A363" s="28" t="n"/>
      <c r="B363" s="29" t="n"/>
      <c r="C363" s="29" t="n"/>
      <c r="D363" s="30">
        <f>IF(C363="","",IFERROR(INDEX(Settings!$C$21:$C$34,MATCH(C363,Settings!$B$21:$B$34,0)),"Check category"))</f>
        <v/>
      </c>
      <c r="E363" s="31" t="n"/>
      <c r="F363" s="29" t="n"/>
      <c r="G363" s="29" t="n"/>
      <c r="H363" s="30">
        <f>IF(A363="","",IFERROR(LOOKUP(A363,Settings!$C$14:$C$17,Settings!$B$14:$B$17),"Pre-MS1"))</f>
        <v/>
      </c>
      <c r="I363" s="32">
        <f>IF(OR(A363="",E363=""),0,IF(D363="Expense",-E363,E363))</f>
        <v/>
      </c>
      <c r="J363" s="33">
        <f>IF(A363="","",Settings!$C$5+SUM($I$5:I363))</f>
        <v/>
      </c>
    </row>
    <row r="364">
      <c r="A364" s="28" t="n"/>
      <c r="B364" s="29" t="n"/>
      <c r="C364" s="29" t="n"/>
      <c r="D364" s="30">
        <f>IF(C364="","",IFERROR(INDEX(Settings!$C$21:$C$34,MATCH(C364,Settings!$B$21:$B$34,0)),"Check category"))</f>
        <v/>
      </c>
      <c r="E364" s="31" t="n"/>
      <c r="F364" s="29" t="n"/>
      <c r="G364" s="29" t="n"/>
      <c r="H364" s="30">
        <f>IF(A364="","",IFERROR(LOOKUP(A364,Settings!$C$14:$C$17,Settings!$B$14:$B$17),"Pre-MS1"))</f>
        <v/>
      </c>
      <c r="I364" s="32">
        <f>IF(OR(A364="",E364=""),0,IF(D364="Expense",-E364,E364))</f>
        <v/>
      </c>
      <c r="J364" s="33">
        <f>IF(A364="","",Settings!$C$5+SUM($I$5:I364))</f>
        <v/>
      </c>
    </row>
    <row r="365">
      <c r="A365" s="28" t="n"/>
      <c r="B365" s="29" t="n"/>
      <c r="C365" s="29" t="n"/>
      <c r="D365" s="30">
        <f>IF(C365="","",IFERROR(INDEX(Settings!$C$21:$C$34,MATCH(C365,Settings!$B$21:$B$34,0)),"Check category"))</f>
        <v/>
      </c>
      <c r="E365" s="31" t="n"/>
      <c r="F365" s="29" t="n"/>
      <c r="G365" s="29" t="n"/>
      <c r="H365" s="30">
        <f>IF(A365="","",IFERROR(LOOKUP(A365,Settings!$C$14:$C$17,Settings!$B$14:$B$17),"Pre-MS1"))</f>
        <v/>
      </c>
      <c r="I365" s="32">
        <f>IF(OR(A365="",E365=""),0,IF(D365="Expense",-E365,E365))</f>
        <v/>
      </c>
      <c r="J365" s="33">
        <f>IF(A365="","",Settings!$C$5+SUM($I$5:I365))</f>
        <v/>
      </c>
    </row>
    <row r="366">
      <c r="A366" s="28" t="n"/>
      <c r="B366" s="29" t="n"/>
      <c r="C366" s="29" t="n"/>
      <c r="D366" s="30">
        <f>IF(C366="","",IFERROR(INDEX(Settings!$C$21:$C$34,MATCH(C366,Settings!$B$21:$B$34,0)),"Check category"))</f>
        <v/>
      </c>
      <c r="E366" s="31" t="n"/>
      <c r="F366" s="29" t="n"/>
      <c r="G366" s="29" t="n"/>
      <c r="H366" s="30">
        <f>IF(A366="","",IFERROR(LOOKUP(A366,Settings!$C$14:$C$17,Settings!$B$14:$B$17),"Pre-MS1"))</f>
        <v/>
      </c>
      <c r="I366" s="32">
        <f>IF(OR(A366="",E366=""),0,IF(D366="Expense",-E366,E366))</f>
        <v/>
      </c>
      <c r="J366" s="33">
        <f>IF(A366="","",Settings!$C$5+SUM($I$5:I366))</f>
        <v/>
      </c>
    </row>
    <row r="367">
      <c r="A367" s="28" t="n"/>
      <c r="B367" s="29" t="n"/>
      <c r="C367" s="29" t="n"/>
      <c r="D367" s="30">
        <f>IF(C367="","",IFERROR(INDEX(Settings!$C$21:$C$34,MATCH(C367,Settings!$B$21:$B$34,0)),"Check category"))</f>
        <v/>
      </c>
      <c r="E367" s="31" t="n"/>
      <c r="F367" s="29" t="n"/>
      <c r="G367" s="29" t="n"/>
      <c r="H367" s="30">
        <f>IF(A367="","",IFERROR(LOOKUP(A367,Settings!$C$14:$C$17,Settings!$B$14:$B$17),"Pre-MS1"))</f>
        <v/>
      </c>
      <c r="I367" s="32">
        <f>IF(OR(A367="",E367=""),0,IF(D367="Expense",-E367,E367))</f>
        <v/>
      </c>
      <c r="J367" s="33">
        <f>IF(A367="","",Settings!$C$5+SUM($I$5:I367))</f>
        <v/>
      </c>
    </row>
    <row r="368">
      <c r="A368" s="28" t="n"/>
      <c r="B368" s="29" t="n"/>
      <c r="C368" s="29" t="n"/>
      <c r="D368" s="30">
        <f>IF(C368="","",IFERROR(INDEX(Settings!$C$21:$C$34,MATCH(C368,Settings!$B$21:$B$34,0)),"Check category"))</f>
        <v/>
      </c>
      <c r="E368" s="31" t="n"/>
      <c r="F368" s="29" t="n"/>
      <c r="G368" s="29" t="n"/>
      <c r="H368" s="30">
        <f>IF(A368="","",IFERROR(LOOKUP(A368,Settings!$C$14:$C$17,Settings!$B$14:$B$17),"Pre-MS1"))</f>
        <v/>
      </c>
      <c r="I368" s="32">
        <f>IF(OR(A368="",E368=""),0,IF(D368="Expense",-E368,E368))</f>
        <v/>
      </c>
      <c r="J368" s="33">
        <f>IF(A368="","",Settings!$C$5+SUM($I$5:I368))</f>
        <v/>
      </c>
    </row>
    <row r="369">
      <c r="A369" s="28" t="n"/>
      <c r="B369" s="29" t="n"/>
      <c r="C369" s="29" t="n"/>
      <c r="D369" s="30">
        <f>IF(C369="","",IFERROR(INDEX(Settings!$C$21:$C$34,MATCH(C369,Settings!$B$21:$B$34,0)),"Check category"))</f>
        <v/>
      </c>
      <c r="E369" s="31" t="n"/>
      <c r="F369" s="29" t="n"/>
      <c r="G369" s="29" t="n"/>
      <c r="H369" s="30">
        <f>IF(A369="","",IFERROR(LOOKUP(A369,Settings!$C$14:$C$17,Settings!$B$14:$B$17),"Pre-MS1"))</f>
        <v/>
      </c>
      <c r="I369" s="32">
        <f>IF(OR(A369="",E369=""),0,IF(D369="Expense",-E369,E369))</f>
        <v/>
      </c>
      <c r="J369" s="33">
        <f>IF(A369="","",Settings!$C$5+SUM($I$5:I369))</f>
        <v/>
      </c>
    </row>
    <row r="370">
      <c r="A370" s="28" t="n"/>
      <c r="B370" s="29" t="n"/>
      <c r="C370" s="29" t="n"/>
      <c r="D370" s="30">
        <f>IF(C370="","",IFERROR(INDEX(Settings!$C$21:$C$34,MATCH(C370,Settings!$B$21:$B$34,0)),"Check category"))</f>
        <v/>
      </c>
      <c r="E370" s="31" t="n"/>
      <c r="F370" s="29" t="n"/>
      <c r="G370" s="29" t="n"/>
      <c r="H370" s="30">
        <f>IF(A370="","",IFERROR(LOOKUP(A370,Settings!$C$14:$C$17,Settings!$B$14:$B$17),"Pre-MS1"))</f>
        <v/>
      </c>
      <c r="I370" s="32">
        <f>IF(OR(A370="",E370=""),0,IF(D370="Expense",-E370,E370))</f>
        <v/>
      </c>
      <c r="J370" s="33">
        <f>IF(A370="","",Settings!$C$5+SUM($I$5:I370))</f>
        <v/>
      </c>
    </row>
    <row r="371">
      <c r="A371" s="28" t="n"/>
      <c r="B371" s="29" t="n"/>
      <c r="C371" s="29" t="n"/>
      <c r="D371" s="30">
        <f>IF(C371="","",IFERROR(INDEX(Settings!$C$21:$C$34,MATCH(C371,Settings!$B$21:$B$34,0)),"Check category"))</f>
        <v/>
      </c>
      <c r="E371" s="31" t="n"/>
      <c r="F371" s="29" t="n"/>
      <c r="G371" s="29" t="n"/>
      <c r="H371" s="30">
        <f>IF(A371="","",IFERROR(LOOKUP(A371,Settings!$C$14:$C$17,Settings!$B$14:$B$17),"Pre-MS1"))</f>
        <v/>
      </c>
      <c r="I371" s="32">
        <f>IF(OR(A371="",E371=""),0,IF(D371="Expense",-E371,E371))</f>
        <v/>
      </c>
      <c r="J371" s="33">
        <f>IF(A371="","",Settings!$C$5+SUM($I$5:I371))</f>
        <v/>
      </c>
    </row>
    <row r="372">
      <c r="A372" s="28" t="n"/>
      <c r="B372" s="29" t="n"/>
      <c r="C372" s="29" t="n"/>
      <c r="D372" s="30">
        <f>IF(C372="","",IFERROR(INDEX(Settings!$C$21:$C$34,MATCH(C372,Settings!$B$21:$B$34,0)),"Check category"))</f>
        <v/>
      </c>
      <c r="E372" s="31" t="n"/>
      <c r="F372" s="29" t="n"/>
      <c r="G372" s="29" t="n"/>
      <c r="H372" s="30">
        <f>IF(A372="","",IFERROR(LOOKUP(A372,Settings!$C$14:$C$17,Settings!$B$14:$B$17),"Pre-MS1"))</f>
        <v/>
      </c>
      <c r="I372" s="32">
        <f>IF(OR(A372="",E372=""),0,IF(D372="Expense",-E372,E372))</f>
        <v/>
      </c>
      <c r="J372" s="33">
        <f>IF(A372="","",Settings!$C$5+SUM($I$5:I372))</f>
        <v/>
      </c>
    </row>
    <row r="373">
      <c r="A373" s="28" t="n"/>
      <c r="B373" s="29" t="n"/>
      <c r="C373" s="29" t="n"/>
      <c r="D373" s="30">
        <f>IF(C373="","",IFERROR(INDEX(Settings!$C$21:$C$34,MATCH(C373,Settings!$B$21:$B$34,0)),"Check category"))</f>
        <v/>
      </c>
      <c r="E373" s="31" t="n"/>
      <c r="F373" s="29" t="n"/>
      <c r="G373" s="29" t="n"/>
      <c r="H373" s="30">
        <f>IF(A373="","",IFERROR(LOOKUP(A373,Settings!$C$14:$C$17,Settings!$B$14:$B$17),"Pre-MS1"))</f>
        <v/>
      </c>
      <c r="I373" s="32">
        <f>IF(OR(A373="",E373=""),0,IF(D373="Expense",-E373,E373))</f>
        <v/>
      </c>
      <c r="J373" s="33">
        <f>IF(A373="","",Settings!$C$5+SUM($I$5:I373))</f>
        <v/>
      </c>
    </row>
    <row r="374">
      <c r="A374" s="28" t="n"/>
      <c r="B374" s="29" t="n"/>
      <c r="C374" s="29" t="n"/>
      <c r="D374" s="30">
        <f>IF(C374="","",IFERROR(INDEX(Settings!$C$21:$C$34,MATCH(C374,Settings!$B$21:$B$34,0)),"Check category"))</f>
        <v/>
      </c>
      <c r="E374" s="31" t="n"/>
      <c r="F374" s="29" t="n"/>
      <c r="G374" s="29" t="n"/>
      <c r="H374" s="30">
        <f>IF(A374="","",IFERROR(LOOKUP(A374,Settings!$C$14:$C$17,Settings!$B$14:$B$17),"Pre-MS1"))</f>
        <v/>
      </c>
      <c r="I374" s="32">
        <f>IF(OR(A374="",E374=""),0,IF(D374="Expense",-E374,E374))</f>
        <v/>
      </c>
      <c r="J374" s="33">
        <f>IF(A374="","",Settings!$C$5+SUM($I$5:I374))</f>
        <v/>
      </c>
    </row>
    <row r="375">
      <c r="A375" s="28" t="n"/>
      <c r="B375" s="29" t="n"/>
      <c r="C375" s="29" t="n"/>
      <c r="D375" s="30">
        <f>IF(C375="","",IFERROR(INDEX(Settings!$C$21:$C$34,MATCH(C375,Settings!$B$21:$B$34,0)),"Check category"))</f>
        <v/>
      </c>
      <c r="E375" s="31" t="n"/>
      <c r="F375" s="29" t="n"/>
      <c r="G375" s="29" t="n"/>
      <c r="H375" s="30">
        <f>IF(A375="","",IFERROR(LOOKUP(A375,Settings!$C$14:$C$17,Settings!$B$14:$B$17),"Pre-MS1"))</f>
        <v/>
      </c>
      <c r="I375" s="32">
        <f>IF(OR(A375="",E375=""),0,IF(D375="Expense",-E375,E375))</f>
        <v/>
      </c>
      <c r="J375" s="33">
        <f>IF(A375="","",Settings!$C$5+SUM($I$5:I375))</f>
        <v/>
      </c>
    </row>
    <row r="376">
      <c r="A376" s="28" t="n"/>
      <c r="B376" s="29" t="n"/>
      <c r="C376" s="29" t="n"/>
      <c r="D376" s="30">
        <f>IF(C376="","",IFERROR(INDEX(Settings!$C$21:$C$34,MATCH(C376,Settings!$B$21:$B$34,0)),"Check category"))</f>
        <v/>
      </c>
      <c r="E376" s="31" t="n"/>
      <c r="F376" s="29" t="n"/>
      <c r="G376" s="29" t="n"/>
      <c r="H376" s="30">
        <f>IF(A376="","",IFERROR(LOOKUP(A376,Settings!$C$14:$C$17,Settings!$B$14:$B$17),"Pre-MS1"))</f>
        <v/>
      </c>
      <c r="I376" s="32">
        <f>IF(OR(A376="",E376=""),0,IF(D376="Expense",-E376,E376))</f>
        <v/>
      </c>
      <c r="J376" s="33">
        <f>IF(A376="","",Settings!$C$5+SUM($I$5:I376))</f>
        <v/>
      </c>
    </row>
    <row r="377">
      <c r="A377" s="28" t="n"/>
      <c r="B377" s="29" t="n"/>
      <c r="C377" s="29" t="n"/>
      <c r="D377" s="30">
        <f>IF(C377="","",IFERROR(INDEX(Settings!$C$21:$C$34,MATCH(C377,Settings!$B$21:$B$34,0)),"Check category"))</f>
        <v/>
      </c>
      <c r="E377" s="31" t="n"/>
      <c r="F377" s="29" t="n"/>
      <c r="G377" s="29" t="n"/>
      <c r="H377" s="30">
        <f>IF(A377="","",IFERROR(LOOKUP(A377,Settings!$C$14:$C$17,Settings!$B$14:$B$17),"Pre-MS1"))</f>
        <v/>
      </c>
      <c r="I377" s="32">
        <f>IF(OR(A377="",E377=""),0,IF(D377="Expense",-E377,E377))</f>
        <v/>
      </c>
      <c r="J377" s="33">
        <f>IF(A377="","",Settings!$C$5+SUM($I$5:I377))</f>
        <v/>
      </c>
    </row>
    <row r="378">
      <c r="A378" s="28" t="n"/>
      <c r="B378" s="29" t="n"/>
      <c r="C378" s="29" t="n"/>
      <c r="D378" s="30">
        <f>IF(C378="","",IFERROR(INDEX(Settings!$C$21:$C$34,MATCH(C378,Settings!$B$21:$B$34,0)),"Check category"))</f>
        <v/>
      </c>
      <c r="E378" s="31" t="n"/>
      <c r="F378" s="29" t="n"/>
      <c r="G378" s="29" t="n"/>
      <c r="H378" s="30">
        <f>IF(A378="","",IFERROR(LOOKUP(A378,Settings!$C$14:$C$17,Settings!$B$14:$B$17),"Pre-MS1"))</f>
        <v/>
      </c>
      <c r="I378" s="32">
        <f>IF(OR(A378="",E378=""),0,IF(D378="Expense",-E378,E378))</f>
        <v/>
      </c>
      <c r="J378" s="33">
        <f>IF(A378="","",Settings!$C$5+SUM($I$5:I378))</f>
        <v/>
      </c>
    </row>
    <row r="379">
      <c r="A379" s="28" t="n"/>
      <c r="B379" s="29" t="n"/>
      <c r="C379" s="29" t="n"/>
      <c r="D379" s="30">
        <f>IF(C379="","",IFERROR(INDEX(Settings!$C$21:$C$34,MATCH(C379,Settings!$B$21:$B$34,0)),"Check category"))</f>
        <v/>
      </c>
      <c r="E379" s="31" t="n"/>
      <c r="F379" s="29" t="n"/>
      <c r="G379" s="29" t="n"/>
      <c r="H379" s="30">
        <f>IF(A379="","",IFERROR(LOOKUP(A379,Settings!$C$14:$C$17,Settings!$B$14:$B$17),"Pre-MS1"))</f>
        <v/>
      </c>
      <c r="I379" s="32">
        <f>IF(OR(A379="",E379=""),0,IF(D379="Expense",-E379,E379))</f>
        <v/>
      </c>
      <c r="J379" s="33">
        <f>IF(A379="","",Settings!$C$5+SUM($I$5:I379))</f>
        <v/>
      </c>
    </row>
    <row r="380">
      <c r="A380" s="28" t="n"/>
      <c r="B380" s="29" t="n"/>
      <c r="C380" s="29" t="n"/>
      <c r="D380" s="30">
        <f>IF(C380="","",IFERROR(INDEX(Settings!$C$21:$C$34,MATCH(C380,Settings!$B$21:$B$34,0)),"Check category"))</f>
        <v/>
      </c>
      <c r="E380" s="31" t="n"/>
      <c r="F380" s="29" t="n"/>
      <c r="G380" s="29" t="n"/>
      <c r="H380" s="30">
        <f>IF(A380="","",IFERROR(LOOKUP(A380,Settings!$C$14:$C$17,Settings!$B$14:$B$17),"Pre-MS1"))</f>
        <v/>
      </c>
      <c r="I380" s="32">
        <f>IF(OR(A380="",E380=""),0,IF(D380="Expense",-E380,E380))</f>
        <v/>
      </c>
      <c r="J380" s="33">
        <f>IF(A380="","",Settings!$C$5+SUM($I$5:I380))</f>
        <v/>
      </c>
    </row>
    <row r="381">
      <c r="A381" s="28" t="n"/>
      <c r="B381" s="29" t="n"/>
      <c r="C381" s="29" t="n"/>
      <c r="D381" s="30">
        <f>IF(C381="","",IFERROR(INDEX(Settings!$C$21:$C$34,MATCH(C381,Settings!$B$21:$B$34,0)),"Check category"))</f>
        <v/>
      </c>
      <c r="E381" s="31" t="n"/>
      <c r="F381" s="29" t="n"/>
      <c r="G381" s="29" t="n"/>
      <c r="H381" s="30">
        <f>IF(A381="","",IFERROR(LOOKUP(A381,Settings!$C$14:$C$17,Settings!$B$14:$B$17),"Pre-MS1"))</f>
        <v/>
      </c>
      <c r="I381" s="32">
        <f>IF(OR(A381="",E381=""),0,IF(D381="Expense",-E381,E381))</f>
        <v/>
      </c>
      <c r="J381" s="33">
        <f>IF(A381="","",Settings!$C$5+SUM($I$5:I381))</f>
        <v/>
      </c>
    </row>
    <row r="382">
      <c r="A382" s="28" t="n"/>
      <c r="B382" s="29" t="n"/>
      <c r="C382" s="29" t="n"/>
      <c r="D382" s="30">
        <f>IF(C382="","",IFERROR(INDEX(Settings!$C$21:$C$34,MATCH(C382,Settings!$B$21:$B$34,0)),"Check category"))</f>
        <v/>
      </c>
      <c r="E382" s="31" t="n"/>
      <c r="F382" s="29" t="n"/>
      <c r="G382" s="29" t="n"/>
      <c r="H382" s="30">
        <f>IF(A382="","",IFERROR(LOOKUP(A382,Settings!$C$14:$C$17,Settings!$B$14:$B$17),"Pre-MS1"))</f>
        <v/>
      </c>
      <c r="I382" s="32">
        <f>IF(OR(A382="",E382=""),0,IF(D382="Expense",-E382,E382))</f>
        <v/>
      </c>
      <c r="J382" s="33">
        <f>IF(A382="","",Settings!$C$5+SUM($I$5:I382))</f>
        <v/>
      </c>
    </row>
    <row r="383">
      <c r="A383" s="28" t="n"/>
      <c r="B383" s="29" t="n"/>
      <c r="C383" s="29" t="n"/>
      <c r="D383" s="30">
        <f>IF(C383="","",IFERROR(INDEX(Settings!$C$21:$C$34,MATCH(C383,Settings!$B$21:$B$34,0)),"Check category"))</f>
        <v/>
      </c>
      <c r="E383" s="31" t="n"/>
      <c r="F383" s="29" t="n"/>
      <c r="G383" s="29" t="n"/>
      <c r="H383" s="30">
        <f>IF(A383="","",IFERROR(LOOKUP(A383,Settings!$C$14:$C$17,Settings!$B$14:$B$17),"Pre-MS1"))</f>
        <v/>
      </c>
      <c r="I383" s="32">
        <f>IF(OR(A383="",E383=""),0,IF(D383="Expense",-E383,E383))</f>
        <v/>
      </c>
      <c r="J383" s="33">
        <f>IF(A383="","",Settings!$C$5+SUM($I$5:I383))</f>
        <v/>
      </c>
    </row>
    <row r="384">
      <c r="A384" s="28" t="n"/>
      <c r="B384" s="29" t="n"/>
      <c r="C384" s="29" t="n"/>
      <c r="D384" s="30">
        <f>IF(C384="","",IFERROR(INDEX(Settings!$C$21:$C$34,MATCH(C384,Settings!$B$21:$B$34,0)),"Check category"))</f>
        <v/>
      </c>
      <c r="E384" s="31" t="n"/>
      <c r="F384" s="29" t="n"/>
      <c r="G384" s="29" t="n"/>
      <c r="H384" s="30">
        <f>IF(A384="","",IFERROR(LOOKUP(A384,Settings!$C$14:$C$17,Settings!$B$14:$B$17),"Pre-MS1"))</f>
        <v/>
      </c>
      <c r="I384" s="32">
        <f>IF(OR(A384="",E384=""),0,IF(D384="Expense",-E384,E384))</f>
        <v/>
      </c>
      <c r="J384" s="33">
        <f>IF(A384="","",Settings!$C$5+SUM($I$5:I384))</f>
        <v/>
      </c>
    </row>
    <row r="385">
      <c r="A385" s="28" t="n"/>
      <c r="B385" s="29" t="n"/>
      <c r="C385" s="29" t="n"/>
      <c r="D385" s="30">
        <f>IF(C385="","",IFERROR(INDEX(Settings!$C$21:$C$34,MATCH(C385,Settings!$B$21:$B$34,0)),"Check category"))</f>
        <v/>
      </c>
      <c r="E385" s="31" t="n"/>
      <c r="F385" s="29" t="n"/>
      <c r="G385" s="29" t="n"/>
      <c r="H385" s="30">
        <f>IF(A385="","",IFERROR(LOOKUP(A385,Settings!$C$14:$C$17,Settings!$B$14:$B$17),"Pre-MS1"))</f>
        <v/>
      </c>
      <c r="I385" s="32">
        <f>IF(OR(A385="",E385=""),0,IF(D385="Expense",-E385,E385))</f>
        <v/>
      </c>
      <c r="J385" s="33">
        <f>IF(A385="","",Settings!$C$5+SUM($I$5:I385))</f>
        <v/>
      </c>
    </row>
    <row r="386">
      <c r="A386" s="28" t="n"/>
      <c r="B386" s="29" t="n"/>
      <c r="C386" s="29" t="n"/>
      <c r="D386" s="30">
        <f>IF(C386="","",IFERROR(INDEX(Settings!$C$21:$C$34,MATCH(C386,Settings!$B$21:$B$34,0)),"Check category"))</f>
        <v/>
      </c>
      <c r="E386" s="31" t="n"/>
      <c r="F386" s="29" t="n"/>
      <c r="G386" s="29" t="n"/>
      <c r="H386" s="30">
        <f>IF(A386="","",IFERROR(LOOKUP(A386,Settings!$C$14:$C$17,Settings!$B$14:$B$17),"Pre-MS1"))</f>
        <v/>
      </c>
      <c r="I386" s="32">
        <f>IF(OR(A386="",E386=""),0,IF(D386="Expense",-E386,E386))</f>
        <v/>
      </c>
      <c r="J386" s="33">
        <f>IF(A386="","",Settings!$C$5+SUM($I$5:I386))</f>
        <v/>
      </c>
    </row>
    <row r="387">
      <c r="A387" s="28" t="n"/>
      <c r="B387" s="29" t="n"/>
      <c r="C387" s="29" t="n"/>
      <c r="D387" s="30">
        <f>IF(C387="","",IFERROR(INDEX(Settings!$C$21:$C$34,MATCH(C387,Settings!$B$21:$B$34,0)),"Check category"))</f>
        <v/>
      </c>
      <c r="E387" s="31" t="n"/>
      <c r="F387" s="29" t="n"/>
      <c r="G387" s="29" t="n"/>
      <c r="H387" s="30">
        <f>IF(A387="","",IFERROR(LOOKUP(A387,Settings!$C$14:$C$17,Settings!$B$14:$B$17),"Pre-MS1"))</f>
        <v/>
      </c>
      <c r="I387" s="32">
        <f>IF(OR(A387="",E387=""),0,IF(D387="Expense",-E387,E387))</f>
        <v/>
      </c>
      <c r="J387" s="33">
        <f>IF(A387="","",Settings!$C$5+SUM($I$5:I387))</f>
        <v/>
      </c>
    </row>
    <row r="388">
      <c r="A388" s="28" t="n"/>
      <c r="B388" s="29" t="n"/>
      <c r="C388" s="29" t="n"/>
      <c r="D388" s="30">
        <f>IF(C388="","",IFERROR(INDEX(Settings!$C$21:$C$34,MATCH(C388,Settings!$B$21:$B$34,0)),"Check category"))</f>
        <v/>
      </c>
      <c r="E388" s="31" t="n"/>
      <c r="F388" s="29" t="n"/>
      <c r="G388" s="29" t="n"/>
      <c r="H388" s="30">
        <f>IF(A388="","",IFERROR(LOOKUP(A388,Settings!$C$14:$C$17,Settings!$B$14:$B$17),"Pre-MS1"))</f>
        <v/>
      </c>
      <c r="I388" s="32">
        <f>IF(OR(A388="",E388=""),0,IF(D388="Expense",-E388,E388))</f>
        <v/>
      </c>
      <c r="J388" s="33">
        <f>IF(A388="","",Settings!$C$5+SUM($I$5:I388))</f>
        <v/>
      </c>
    </row>
    <row r="389">
      <c r="A389" s="28" t="n"/>
      <c r="B389" s="29" t="n"/>
      <c r="C389" s="29" t="n"/>
      <c r="D389" s="30">
        <f>IF(C389="","",IFERROR(INDEX(Settings!$C$21:$C$34,MATCH(C389,Settings!$B$21:$B$34,0)),"Check category"))</f>
        <v/>
      </c>
      <c r="E389" s="31" t="n"/>
      <c r="F389" s="29" t="n"/>
      <c r="G389" s="29" t="n"/>
      <c r="H389" s="30">
        <f>IF(A389="","",IFERROR(LOOKUP(A389,Settings!$C$14:$C$17,Settings!$B$14:$B$17),"Pre-MS1"))</f>
        <v/>
      </c>
      <c r="I389" s="32">
        <f>IF(OR(A389="",E389=""),0,IF(D389="Expense",-E389,E389))</f>
        <v/>
      </c>
      <c r="J389" s="33">
        <f>IF(A389="","",Settings!$C$5+SUM($I$5:I389))</f>
        <v/>
      </c>
    </row>
    <row r="390">
      <c r="A390" s="28" t="n"/>
      <c r="B390" s="29" t="n"/>
      <c r="C390" s="29" t="n"/>
      <c r="D390" s="30">
        <f>IF(C390="","",IFERROR(INDEX(Settings!$C$21:$C$34,MATCH(C390,Settings!$B$21:$B$34,0)),"Check category"))</f>
        <v/>
      </c>
      <c r="E390" s="31" t="n"/>
      <c r="F390" s="29" t="n"/>
      <c r="G390" s="29" t="n"/>
      <c r="H390" s="30">
        <f>IF(A390="","",IFERROR(LOOKUP(A390,Settings!$C$14:$C$17,Settings!$B$14:$B$17),"Pre-MS1"))</f>
        <v/>
      </c>
      <c r="I390" s="32">
        <f>IF(OR(A390="",E390=""),0,IF(D390="Expense",-E390,E390))</f>
        <v/>
      </c>
      <c r="J390" s="33">
        <f>IF(A390="","",Settings!$C$5+SUM($I$5:I390))</f>
        <v/>
      </c>
    </row>
    <row r="391">
      <c r="A391" s="28" t="n"/>
      <c r="B391" s="29" t="n"/>
      <c r="C391" s="29" t="n"/>
      <c r="D391" s="30">
        <f>IF(C391="","",IFERROR(INDEX(Settings!$C$21:$C$34,MATCH(C391,Settings!$B$21:$B$34,0)),"Check category"))</f>
        <v/>
      </c>
      <c r="E391" s="31" t="n"/>
      <c r="F391" s="29" t="n"/>
      <c r="G391" s="29" t="n"/>
      <c r="H391" s="30">
        <f>IF(A391="","",IFERROR(LOOKUP(A391,Settings!$C$14:$C$17,Settings!$B$14:$B$17),"Pre-MS1"))</f>
        <v/>
      </c>
      <c r="I391" s="32">
        <f>IF(OR(A391="",E391=""),0,IF(D391="Expense",-E391,E391))</f>
        <v/>
      </c>
      <c r="J391" s="33">
        <f>IF(A391="","",Settings!$C$5+SUM($I$5:I391))</f>
        <v/>
      </c>
    </row>
    <row r="392">
      <c r="A392" s="28" t="n"/>
      <c r="B392" s="29" t="n"/>
      <c r="C392" s="29" t="n"/>
      <c r="D392" s="30">
        <f>IF(C392="","",IFERROR(INDEX(Settings!$C$21:$C$34,MATCH(C392,Settings!$B$21:$B$34,0)),"Check category"))</f>
        <v/>
      </c>
      <c r="E392" s="31" t="n"/>
      <c r="F392" s="29" t="n"/>
      <c r="G392" s="29" t="n"/>
      <c r="H392" s="30">
        <f>IF(A392="","",IFERROR(LOOKUP(A392,Settings!$C$14:$C$17,Settings!$B$14:$B$17),"Pre-MS1"))</f>
        <v/>
      </c>
      <c r="I392" s="32">
        <f>IF(OR(A392="",E392=""),0,IF(D392="Expense",-E392,E392))</f>
        <v/>
      </c>
      <c r="J392" s="33">
        <f>IF(A392="","",Settings!$C$5+SUM($I$5:I392))</f>
        <v/>
      </c>
    </row>
    <row r="393">
      <c r="A393" s="28" t="n"/>
      <c r="B393" s="29" t="n"/>
      <c r="C393" s="29" t="n"/>
      <c r="D393" s="30">
        <f>IF(C393="","",IFERROR(INDEX(Settings!$C$21:$C$34,MATCH(C393,Settings!$B$21:$B$34,0)),"Check category"))</f>
        <v/>
      </c>
      <c r="E393" s="31" t="n"/>
      <c r="F393" s="29" t="n"/>
      <c r="G393" s="29" t="n"/>
      <c r="H393" s="30">
        <f>IF(A393="","",IFERROR(LOOKUP(A393,Settings!$C$14:$C$17,Settings!$B$14:$B$17),"Pre-MS1"))</f>
        <v/>
      </c>
      <c r="I393" s="32">
        <f>IF(OR(A393="",E393=""),0,IF(D393="Expense",-E393,E393))</f>
        <v/>
      </c>
      <c r="J393" s="33">
        <f>IF(A393="","",Settings!$C$5+SUM($I$5:I393))</f>
        <v/>
      </c>
    </row>
    <row r="394">
      <c r="A394" s="28" t="n"/>
      <c r="B394" s="29" t="n"/>
      <c r="C394" s="29" t="n"/>
      <c r="D394" s="30">
        <f>IF(C394="","",IFERROR(INDEX(Settings!$C$21:$C$34,MATCH(C394,Settings!$B$21:$B$34,0)),"Check category"))</f>
        <v/>
      </c>
      <c r="E394" s="31" t="n"/>
      <c r="F394" s="29" t="n"/>
      <c r="G394" s="29" t="n"/>
      <c r="H394" s="30">
        <f>IF(A394="","",IFERROR(LOOKUP(A394,Settings!$C$14:$C$17,Settings!$B$14:$B$17),"Pre-MS1"))</f>
        <v/>
      </c>
      <c r="I394" s="32">
        <f>IF(OR(A394="",E394=""),0,IF(D394="Expense",-E394,E394))</f>
        <v/>
      </c>
      <c r="J394" s="33">
        <f>IF(A394="","",Settings!$C$5+SUM($I$5:I394))</f>
        <v/>
      </c>
    </row>
    <row r="395">
      <c r="A395" s="28" t="n"/>
      <c r="B395" s="29" t="n"/>
      <c r="C395" s="29" t="n"/>
      <c r="D395" s="30">
        <f>IF(C395="","",IFERROR(INDEX(Settings!$C$21:$C$34,MATCH(C395,Settings!$B$21:$B$34,0)),"Check category"))</f>
        <v/>
      </c>
      <c r="E395" s="31" t="n"/>
      <c r="F395" s="29" t="n"/>
      <c r="G395" s="29" t="n"/>
      <c r="H395" s="30">
        <f>IF(A395="","",IFERROR(LOOKUP(A395,Settings!$C$14:$C$17,Settings!$B$14:$B$17),"Pre-MS1"))</f>
        <v/>
      </c>
      <c r="I395" s="32">
        <f>IF(OR(A395="",E395=""),0,IF(D395="Expense",-E395,E395))</f>
        <v/>
      </c>
      <c r="J395" s="33">
        <f>IF(A395="","",Settings!$C$5+SUM($I$5:I395))</f>
        <v/>
      </c>
    </row>
    <row r="396">
      <c r="A396" s="28" t="n"/>
      <c r="B396" s="29" t="n"/>
      <c r="C396" s="29" t="n"/>
      <c r="D396" s="30">
        <f>IF(C396="","",IFERROR(INDEX(Settings!$C$21:$C$34,MATCH(C396,Settings!$B$21:$B$34,0)),"Check category"))</f>
        <v/>
      </c>
      <c r="E396" s="31" t="n"/>
      <c r="F396" s="29" t="n"/>
      <c r="G396" s="29" t="n"/>
      <c r="H396" s="30">
        <f>IF(A396="","",IFERROR(LOOKUP(A396,Settings!$C$14:$C$17,Settings!$B$14:$B$17),"Pre-MS1"))</f>
        <v/>
      </c>
      <c r="I396" s="32">
        <f>IF(OR(A396="",E396=""),0,IF(D396="Expense",-E396,E396))</f>
        <v/>
      </c>
      <c r="J396" s="33">
        <f>IF(A396="","",Settings!$C$5+SUM($I$5:I396))</f>
        <v/>
      </c>
    </row>
    <row r="397">
      <c r="A397" s="28" t="n"/>
      <c r="B397" s="29" t="n"/>
      <c r="C397" s="29" t="n"/>
      <c r="D397" s="30">
        <f>IF(C397="","",IFERROR(INDEX(Settings!$C$21:$C$34,MATCH(C397,Settings!$B$21:$B$34,0)),"Check category"))</f>
        <v/>
      </c>
      <c r="E397" s="31" t="n"/>
      <c r="F397" s="29" t="n"/>
      <c r="G397" s="29" t="n"/>
      <c r="H397" s="30">
        <f>IF(A397="","",IFERROR(LOOKUP(A397,Settings!$C$14:$C$17,Settings!$B$14:$B$17),"Pre-MS1"))</f>
        <v/>
      </c>
      <c r="I397" s="32">
        <f>IF(OR(A397="",E397=""),0,IF(D397="Expense",-E397,E397))</f>
        <v/>
      </c>
      <c r="J397" s="33">
        <f>IF(A397="","",Settings!$C$5+SUM($I$5:I397))</f>
        <v/>
      </c>
    </row>
    <row r="398">
      <c r="A398" s="28" t="n"/>
      <c r="B398" s="29" t="n"/>
      <c r="C398" s="29" t="n"/>
      <c r="D398" s="30">
        <f>IF(C398="","",IFERROR(INDEX(Settings!$C$21:$C$34,MATCH(C398,Settings!$B$21:$B$34,0)),"Check category"))</f>
        <v/>
      </c>
      <c r="E398" s="31" t="n"/>
      <c r="F398" s="29" t="n"/>
      <c r="G398" s="29" t="n"/>
      <c r="H398" s="30">
        <f>IF(A398="","",IFERROR(LOOKUP(A398,Settings!$C$14:$C$17,Settings!$B$14:$B$17),"Pre-MS1"))</f>
        <v/>
      </c>
      <c r="I398" s="32">
        <f>IF(OR(A398="",E398=""),0,IF(D398="Expense",-E398,E398))</f>
        <v/>
      </c>
      <c r="J398" s="33">
        <f>IF(A398="","",Settings!$C$5+SUM($I$5:I398))</f>
        <v/>
      </c>
    </row>
    <row r="399">
      <c r="A399" s="28" t="n"/>
      <c r="B399" s="29" t="n"/>
      <c r="C399" s="29" t="n"/>
      <c r="D399" s="30">
        <f>IF(C399="","",IFERROR(INDEX(Settings!$C$21:$C$34,MATCH(C399,Settings!$B$21:$B$34,0)),"Check category"))</f>
        <v/>
      </c>
      <c r="E399" s="31" t="n"/>
      <c r="F399" s="29" t="n"/>
      <c r="G399" s="29" t="n"/>
      <c r="H399" s="30">
        <f>IF(A399="","",IFERROR(LOOKUP(A399,Settings!$C$14:$C$17,Settings!$B$14:$B$17),"Pre-MS1"))</f>
        <v/>
      </c>
      <c r="I399" s="32">
        <f>IF(OR(A399="",E399=""),0,IF(D399="Expense",-E399,E399))</f>
        <v/>
      </c>
      <c r="J399" s="33">
        <f>IF(A399="","",Settings!$C$5+SUM($I$5:I399))</f>
        <v/>
      </c>
    </row>
    <row r="400">
      <c r="A400" s="28" t="n"/>
      <c r="B400" s="29" t="n"/>
      <c r="C400" s="29" t="n"/>
      <c r="D400" s="30">
        <f>IF(C400="","",IFERROR(INDEX(Settings!$C$21:$C$34,MATCH(C400,Settings!$B$21:$B$34,0)),"Check category"))</f>
        <v/>
      </c>
      <c r="E400" s="31" t="n"/>
      <c r="F400" s="29" t="n"/>
      <c r="G400" s="29" t="n"/>
      <c r="H400" s="30">
        <f>IF(A400="","",IFERROR(LOOKUP(A400,Settings!$C$14:$C$17,Settings!$B$14:$B$17),"Pre-MS1"))</f>
        <v/>
      </c>
      <c r="I400" s="32">
        <f>IF(OR(A400="",E400=""),0,IF(D400="Expense",-E400,E400))</f>
        <v/>
      </c>
      <c r="J400" s="33">
        <f>IF(A400="","",Settings!$C$5+SUM($I$5:I400))</f>
        <v/>
      </c>
    </row>
    <row r="401">
      <c r="A401" s="28" t="n"/>
      <c r="B401" s="29" t="n"/>
      <c r="C401" s="29" t="n"/>
      <c r="D401" s="30">
        <f>IF(C401="","",IFERROR(INDEX(Settings!$C$21:$C$34,MATCH(C401,Settings!$B$21:$B$34,0)),"Check category"))</f>
        <v/>
      </c>
      <c r="E401" s="31" t="n"/>
      <c r="F401" s="29" t="n"/>
      <c r="G401" s="29" t="n"/>
      <c r="H401" s="30">
        <f>IF(A401="","",IFERROR(LOOKUP(A401,Settings!$C$14:$C$17,Settings!$B$14:$B$17),"Pre-MS1"))</f>
        <v/>
      </c>
      <c r="I401" s="32">
        <f>IF(OR(A401="",E401=""),0,IF(D401="Expense",-E401,E401))</f>
        <v/>
      </c>
      <c r="J401" s="33">
        <f>IF(A401="","",Settings!$C$5+SUM($I$5:I401))</f>
        <v/>
      </c>
    </row>
    <row r="402">
      <c r="A402" s="28" t="n"/>
      <c r="B402" s="29" t="n"/>
      <c r="C402" s="29" t="n"/>
      <c r="D402" s="30">
        <f>IF(C402="","",IFERROR(INDEX(Settings!$C$21:$C$34,MATCH(C402,Settings!$B$21:$B$34,0)),"Check category"))</f>
        <v/>
      </c>
      <c r="E402" s="31" t="n"/>
      <c r="F402" s="29" t="n"/>
      <c r="G402" s="29" t="n"/>
      <c r="H402" s="30">
        <f>IF(A402="","",IFERROR(LOOKUP(A402,Settings!$C$14:$C$17,Settings!$B$14:$B$17),"Pre-MS1"))</f>
        <v/>
      </c>
      <c r="I402" s="32">
        <f>IF(OR(A402="",E402=""),0,IF(D402="Expense",-E402,E402))</f>
        <v/>
      </c>
      <c r="J402" s="33">
        <f>IF(A402="","",Settings!$C$5+SUM($I$5:I402))</f>
        <v/>
      </c>
    </row>
    <row r="403">
      <c r="A403" s="28" t="n"/>
      <c r="B403" s="29" t="n"/>
      <c r="C403" s="29" t="n"/>
      <c r="D403" s="30">
        <f>IF(C403="","",IFERROR(INDEX(Settings!$C$21:$C$34,MATCH(C403,Settings!$B$21:$B$34,0)),"Check category"))</f>
        <v/>
      </c>
      <c r="E403" s="31" t="n"/>
      <c r="F403" s="29" t="n"/>
      <c r="G403" s="29" t="n"/>
      <c r="H403" s="30">
        <f>IF(A403="","",IFERROR(LOOKUP(A403,Settings!$C$14:$C$17,Settings!$B$14:$B$17),"Pre-MS1"))</f>
        <v/>
      </c>
      <c r="I403" s="32">
        <f>IF(OR(A403="",E403=""),0,IF(D403="Expense",-E403,E403))</f>
        <v/>
      </c>
      <c r="J403" s="33">
        <f>IF(A403="","",Settings!$C$5+SUM($I$5:I403))</f>
        <v/>
      </c>
    </row>
    <row r="404">
      <c r="A404" s="28" t="n"/>
      <c r="B404" s="29" t="n"/>
      <c r="C404" s="29" t="n"/>
      <c r="D404" s="30">
        <f>IF(C404="","",IFERROR(INDEX(Settings!$C$21:$C$34,MATCH(C404,Settings!$B$21:$B$34,0)),"Check category"))</f>
        <v/>
      </c>
      <c r="E404" s="31" t="n"/>
      <c r="F404" s="29" t="n"/>
      <c r="G404" s="29" t="n"/>
      <c r="H404" s="30">
        <f>IF(A404="","",IFERROR(LOOKUP(A404,Settings!$C$14:$C$17,Settings!$B$14:$B$17),"Pre-MS1"))</f>
        <v/>
      </c>
      <c r="I404" s="32">
        <f>IF(OR(A404="",E404=""),0,IF(D404="Expense",-E404,E404))</f>
        <v/>
      </c>
      <c r="J404" s="33">
        <f>IF(A404="","",Settings!$C$5+SUM($I$5:I404))</f>
        <v/>
      </c>
    </row>
    <row r="405">
      <c r="A405" s="28" t="n"/>
      <c r="B405" s="29" t="n"/>
      <c r="C405" s="29" t="n"/>
      <c r="D405" s="30">
        <f>IF(C405="","",IFERROR(INDEX(Settings!$C$21:$C$34,MATCH(C405,Settings!$B$21:$B$34,0)),"Check category"))</f>
        <v/>
      </c>
      <c r="E405" s="31" t="n"/>
      <c r="F405" s="29" t="n"/>
      <c r="G405" s="29" t="n"/>
      <c r="H405" s="30">
        <f>IF(A405="","",IFERROR(LOOKUP(A405,Settings!$C$14:$C$17,Settings!$B$14:$B$17),"Pre-MS1"))</f>
        <v/>
      </c>
      <c r="I405" s="32">
        <f>IF(OR(A405="",E405=""),0,IF(D405="Expense",-E405,E405))</f>
        <v/>
      </c>
      <c r="J405" s="33">
        <f>IF(A405="","",Settings!$C$5+SUM($I$5:I405))</f>
        <v/>
      </c>
    </row>
    <row r="406">
      <c r="A406" s="28" t="n"/>
      <c r="B406" s="29" t="n"/>
      <c r="C406" s="29" t="n"/>
      <c r="D406" s="30">
        <f>IF(C406="","",IFERROR(INDEX(Settings!$C$21:$C$34,MATCH(C406,Settings!$B$21:$B$34,0)),"Check category"))</f>
        <v/>
      </c>
      <c r="E406" s="31" t="n"/>
      <c r="F406" s="29" t="n"/>
      <c r="G406" s="29" t="n"/>
      <c r="H406" s="30">
        <f>IF(A406="","",IFERROR(LOOKUP(A406,Settings!$C$14:$C$17,Settings!$B$14:$B$17),"Pre-MS1"))</f>
        <v/>
      </c>
      <c r="I406" s="32">
        <f>IF(OR(A406="",E406=""),0,IF(D406="Expense",-E406,E406))</f>
        <v/>
      </c>
      <c r="J406" s="33">
        <f>IF(A406="","",Settings!$C$5+SUM($I$5:I406))</f>
        <v/>
      </c>
    </row>
    <row r="407">
      <c r="A407" s="28" t="n"/>
      <c r="B407" s="29" t="n"/>
      <c r="C407" s="29" t="n"/>
      <c r="D407" s="30">
        <f>IF(C407="","",IFERROR(INDEX(Settings!$C$21:$C$34,MATCH(C407,Settings!$B$21:$B$34,0)),"Check category"))</f>
        <v/>
      </c>
      <c r="E407" s="31" t="n"/>
      <c r="F407" s="29" t="n"/>
      <c r="G407" s="29" t="n"/>
      <c r="H407" s="30">
        <f>IF(A407="","",IFERROR(LOOKUP(A407,Settings!$C$14:$C$17,Settings!$B$14:$B$17),"Pre-MS1"))</f>
        <v/>
      </c>
      <c r="I407" s="32">
        <f>IF(OR(A407="",E407=""),0,IF(D407="Expense",-E407,E407))</f>
        <v/>
      </c>
      <c r="J407" s="33">
        <f>IF(A407="","",Settings!$C$5+SUM($I$5:I407))</f>
        <v/>
      </c>
    </row>
    <row r="408">
      <c r="A408" s="28" t="n"/>
      <c r="B408" s="29" t="n"/>
      <c r="C408" s="29" t="n"/>
      <c r="D408" s="30">
        <f>IF(C408="","",IFERROR(INDEX(Settings!$C$21:$C$34,MATCH(C408,Settings!$B$21:$B$34,0)),"Check category"))</f>
        <v/>
      </c>
      <c r="E408" s="31" t="n"/>
      <c r="F408" s="29" t="n"/>
      <c r="G408" s="29" t="n"/>
      <c r="H408" s="30">
        <f>IF(A408="","",IFERROR(LOOKUP(A408,Settings!$C$14:$C$17,Settings!$B$14:$B$17),"Pre-MS1"))</f>
        <v/>
      </c>
      <c r="I408" s="32">
        <f>IF(OR(A408="",E408=""),0,IF(D408="Expense",-E408,E408))</f>
        <v/>
      </c>
      <c r="J408" s="33">
        <f>IF(A408="","",Settings!$C$5+SUM($I$5:I408))</f>
        <v/>
      </c>
    </row>
    <row r="409">
      <c r="A409" s="28" t="n"/>
      <c r="B409" s="29" t="n"/>
      <c r="C409" s="29" t="n"/>
      <c r="D409" s="30">
        <f>IF(C409="","",IFERROR(INDEX(Settings!$C$21:$C$34,MATCH(C409,Settings!$B$21:$B$34,0)),"Check category"))</f>
        <v/>
      </c>
      <c r="E409" s="31" t="n"/>
      <c r="F409" s="29" t="n"/>
      <c r="G409" s="29" t="n"/>
      <c r="H409" s="30">
        <f>IF(A409="","",IFERROR(LOOKUP(A409,Settings!$C$14:$C$17,Settings!$B$14:$B$17),"Pre-MS1"))</f>
        <v/>
      </c>
      <c r="I409" s="32">
        <f>IF(OR(A409="",E409=""),0,IF(D409="Expense",-E409,E409))</f>
        <v/>
      </c>
      <c r="J409" s="33">
        <f>IF(A409="","",Settings!$C$5+SUM($I$5:I409))</f>
        <v/>
      </c>
    </row>
    <row r="410">
      <c r="A410" s="28" t="n"/>
      <c r="B410" s="29" t="n"/>
      <c r="C410" s="29" t="n"/>
      <c r="D410" s="30">
        <f>IF(C410="","",IFERROR(INDEX(Settings!$C$21:$C$34,MATCH(C410,Settings!$B$21:$B$34,0)),"Check category"))</f>
        <v/>
      </c>
      <c r="E410" s="31" t="n"/>
      <c r="F410" s="29" t="n"/>
      <c r="G410" s="29" t="n"/>
      <c r="H410" s="30">
        <f>IF(A410="","",IFERROR(LOOKUP(A410,Settings!$C$14:$C$17,Settings!$B$14:$B$17),"Pre-MS1"))</f>
        <v/>
      </c>
      <c r="I410" s="32">
        <f>IF(OR(A410="",E410=""),0,IF(D410="Expense",-E410,E410))</f>
        <v/>
      </c>
      <c r="J410" s="33">
        <f>IF(A410="","",Settings!$C$5+SUM($I$5:I410))</f>
        <v/>
      </c>
    </row>
    <row r="411">
      <c r="A411" s="28" t="n"/>
      <c r="B411" s="29" t="n"/>
      <c r="C411" s="29" t="n"/>
      <c r="D411" s="30">
        <f>IF(C411="","",IFERROR(INDEX(Settings!$C$21:$C$34,MATCH(C411,Settings!$B$21:$B$34,0)),"Check category"))</f>
        <v/>
      </c>
      <c r="E411" s="31" t="n"/>
      <c r="F411" s="29" t="n"/>
      <c r="G411" s="29" t="n"/>
      <c r="H411" s="30">
        <f>IF(A411="","",IFERROR(LOOKUP(A411,Settings!$C$14:$C$17,Settings!$B$14:$B$17),"Pre-MS1"))</f>
        <v/>
      </c>
      <c r="I411" s="32">
        <f>IF(OR(A411="",E411=""),0,IF(D411="Expense",-E411,E411))</f>
        <v/>
      </c>
      <c r="J411" s="33">
        <f>IF(A411="","",Settings!$C$5+SUM($I$5:I411))</f>
        <v/>
      </c>
    </row>
    <row r="412">
      <c r="A412" s="28" t="n"/>
      <c r="B412" s="29" t="n"/>
      <c r="C412" s="29" t="n"/>
      <c r="D412" s="30">
        <f>IF(C412="","",IFERROR(INDEX(Settings!$C$21:$C$34,MATCH(C412,Settings!$B$21:$B$34,0)),"Check category"))</f>
        <v/>
      </c>
      <c r="E412" s="31" t="n"/>
      <c r="F412" s="29" t="n"/>
      <c r="G412" s="29" t="n"/>
      <c r="H412" s="30">
        <f>IF(A412="","",IFERROR(LOOKUP(A412,Settings!$C$14:$C$17,Settings!$B$14:$B$17),"Pre-MS1"))</f>
        <v/>
      </c>
      <c r="I412" s="32">
        <f>IF(OR(A412="",E412=""),0,IF(D412="Expense",-E412,E412))</f>
        <v/>
      </c>
      <c r="J412" s="33">
        <f>IF(A412="","",Settings!$C$5+SUM($I$5:I412))</f>
        <v/>
      </c>
    </row>
    <row r="413">
      <c r="A413" s="28" t="n"/>
      <c r="B413" s="29" t="n"/>
      <c r="C413" s="29" t="n"/>
      <c r="D413" s="30">
        <f>IF(C413="","",IFERROR(INDEX(Settings!$C$21:$C$34,MATCH(C413,Settings!$B$21:$B$34,0)),"Check category"))</f>
        <v/>
      </c>
      <c r="E413" s="31" t="n"/>
      <c r="F413" s="29" t="n"/>
      <c r="G413" s="29" t="n"/>
      <c r="H413" s="30">
        <f>IF(A413="","",IFERROR(LOOKUP(A413,Settings!$C$14:$C$17,Settings!$B$14:$B$17),"Pre-MS1"))</f>
        <v/>
      </c>
      <c r="I413" s="32">
        <f>IF(OR(A413="",E413=""),0,IF(D413="Expense",-E413,E413))</f>
        <v/>
      </c>
      <c r="J413" s="33">
        <f>IF(A413="","",Settings!$C$5+SUM($I$5:I413))</f>
        <v/>
      </c>
    </row>
    <row r="414">
      <c r="A414" s="28" t="n"/>
      <c r="B414" s="29" t="n"/>
      <c r="C414" s="29" t="n"/>
      <c r="D414" s="30">
        <f>IF(C414="","",IFERROR(INDEX(Settings!$C$21:$C$34,MATCH(C414,Settings!$B$21:$B$34,0)),"Check category"))</f>
        <v/>
      </c>
      <c r="E414" s="31" t="n"/>
      <c r="F414" s="29" t="n"/>
      <c r="G414" s="29" t="n"/>
      <c r="H414" s="30">
        <f>IF(A414="","",IFERROR(LOOKUP(A414,Settings!$C$14:$C$17,Settings!$B$14:$B$17),"Pre-MS1"))</f>
        <v/>
      </c>
      <c r="I414" s="32">
        <f>IF(OR(A414="",E414=""),0,IF(D414="Expense",-E414,E414))</f>
        <v/>
      </c>
      <c r="J414" s="33">
        <f>IF(A414="","",Settings!$C$5+SUM($I$5:I414))</f>
        <v/>
      </c>
    </row>
    <row r="415">
      <c r="A415" s="28" t="n"/>
      <c r="B415" s="29" t="n"/>
      <c r="C415" s="29" t="n"/>
      <c r="D415" s="30">
        <f>IF(C415="","",IFERROR(INDEX(Settings!$C$21:$C$34,MATCH(C415,Settings!$B$21:$B$34,0)),"Check category"))</f>
        <v/>
      </c>
      <c r="E415" s="31" t="n"/>
      <c r="F415" s="29" t="n"/>
      <c r="G415" s="29" t="n"/>
      <c r="H415" s="30">
        <f>IF(A415="","",IFERROR(LOOKUP(A415,Settings!$C$14:$C$17,Settings!$B$14:$B$17),"Pre-MS1"))</f>
        <v/>
      </c>
      <c r="I415" s="32">
        <f>IF(OR(A415="",E415=""),0,IF(D415="Expense",-E415,E415))</f>
        <v/>
      </c>
      <c r="J415" s="33">
        <f>IF(A415="","",Settings!$C$5+SUM($I$5:I415))</f>
        <v/>
      </c>
    </row>
    <row r="416">
      <c r="A416" s="28" t="n"/>
      <c r="B416" s="29" t="n"/>
      <c r="C416" s="29" t="n"/>
      <c r="D416" s="30">
        <f>IF(C416="","",IFERROR(INDEX(Settings!$C$21:$C$34,MATCH(C416,Settings!$B$21:$B$34,0)),"Check category"))</f>
        <v/>
      </c>
      <c r="E416" s="31" t="n"/>
      <c r="F416" s="29" t="n"/>
      <c r="G416" s="29" t="n"/>
      <c r="H416" s="30">
        <f>IF(A416="","",IFERROR(LOOKUP(A416,Settings!$C$14:$C$17,Settings!$B$14:$B$17),"Pre-MS1"))</f>
        <v/>
      </c>
      <c r="I416" s="32">
        <f>IF(OR(A416="",E416=""),0,IF(D416="Expense",-E416,E416))</f>
        <v/>
      </c>
      <c r="J416" s="33">
        <f>IF(A416="","",Settings!$C$5+SUM($I$5:I416))</f>
        <v/>
      </c>
    </row>
    <row r="417">
      <c r="A417" s="28" t="n"/>
      <c r="B417" s="29" t="n"/>
      <c r="C417" s="29" t="n"/>
      <c r="D417" s="30">
        <f>IF(C417="","",IFERROR(INDEX(Settings!$C$21:$C$34,MATCH(C417,Settings!$B$21:$B$34,0)),"Check category"))</f>
        <v/>
      </c>
      <c r="E417" s="31" t="n"/>
      <c r="F417" s="29" t="n"/>
      <c r="G417" s="29" t="n"/>
      <c r="H417" s="30">
        <f>IF(A417="","",IFERROR(LOOKUP(A417,Settings!$C$14:$C$17,Settings!$B$14:$B$17),"Pre-MS1"))</f>
        <v/>
      </c>
      <c r="I417" s="32">
        <f>IF(OR(A417="",E417=""),0,IF(D417="Expense",-E417,E417))</f>
        <v/>
      </c>
      <c r="J417" s="33">
        <f>IF(A417="","",Settings!$C$5+SUM($I$5:I417))</f>
        <v/>
      </c>
    </row>
    <row r="418">
      <c r="A418" s="28" t="n"/>
      <c r="B418" s="29" t="n"/>
      <c r="C418" s="29" t="n"/>
      <c r="D418" s="30">
        <f>IF(C418="","",IFERROR(INDEX(Settings!$C$21:$C$34,MATCH(C418,Settings!$B$21:$B$34,0)),"Check category"))</f>
        <v/>
      </c>
      <c r="E418" s="31" t="n"/>
      <c r="F418" s="29" t="n"/>
      <c r="G418" s="29" t="n"/>
      <c r="H418" s="30">
        <f>IF(A418="","",IFERROR(LOOKUP(A418,Settings!$C$14:$C$17,Settings!$B$14:$B$17),"Pre-MS1"))</f>
        <v/>
      </c>
      <c r="I418" s="32">
        <f>IF(OR(A418="",E418=""),0,IF(D418="Expense",-E418,E418))</f>
        <v/>
      </c>
      <c r="J418" s="33">
        <f>IF(A418="","",Settings!$C$5+SUM($I$5:I418))</f>
        <v/>
      </c>
    </row>
    <row r="419">
      <c r="A419" s="28" t="n"/>
      <c r="B419" s="29" t="n"/>
      <c r="C419" s="29" t="n"/>
      <c r="D419" s="30">
        <f>IF(C419="","",IFERROR(INDEX(Settings!$C$21:$C$34,MATCH(C419,Settings!$B$21:$B$34,0)),"Check category"))</f>
        <v/>
      </c>
      <c r="E419" s="31" t="n"/>
      <c r="F419" s="29" t="n"/>
      <c r="G419" s="29" t="n"/>
      <c r="H419" s="30">
        <f>IF(A419="","",IFERROR(LOOKUP(A419,Settings!$C$14:$C$17,Settings!$B$14:$B$17),"Pre-MS1"))</f>
        <v/>
      </c>
      <c r="I419" s="32">
        <f>IF(OR(A419="",E419=""),0,IF(D419="Expense",-E419,E419))</f>
        <v/>
      </c>
      <c r="J419" s="33">
        <f>IF(A419="","",Settings!$C$5+SUM($I$5:I419))</f>
        <v/>
      </c>
    </row>
    <row r="420">
      <c r="A420" s="28" t="n"/>
      <c r="B420" s="29" t="n"/>
      <c r="C420" s="29" t="n"/>
      <c r="D420" s="30">
        <f>IF(C420="","",IFERROR(INDEX(Settings!$C$21:$C$34,MATCH(C420,Settings!$B$21:$B$34,0)),"Check category"))</f>
        <v/>
      </c>
      <c r="E420" s="31" t="n"/>
      <c r="F420" s="29" t="n"/>
      <c r="G420" s="29" t="n"/>
      <c r="H420" s="30">
        <f>IF(A420="","",IFERROR(LOOKUP(A420,Settings!$C$14:$C$17,Settings!$B$14:$B$17),"Pre-MS1"))</f>
        <v/>
      </c>
      <c r="I420" s="32">
        <f>IF(OR(A420="",E420=""),0,IF(D420="Expense",-E420,E420))</f>
        <v/>
      </c>
      <c r="J420" s="33">
        <f>IF(A420="","",Settings!$C$5+SUM($I$5:I420))</f>
        <v/>
      </c>
    </row>
    <row r="421">
      <c r="A421" s="28" t="n"/>
      <c r="B421" s="29" t="n"/>
      <c r="C421" s="29" t="n"/>
      <c r="D421" s="30">
        <f>IF(C421="","",IFERROR(INDEX(Settings!$C$21:$C$34,MATCH(C421,Settings!$B$21:$B$34,0)),"Check category"))</f>
        <v/>
      </c>
      <c r="E421" s="31" t="n"/>
      <c r="F421" s="29" t="n"/>
      <c r="G421" s="29" t="n"/>
      <c r="H421" s="30">
        <f>IF(A421="","",IFERROR(LOOKUP(A421,Settings!$C$14:$C$17,Settings!$B$14:$B$17),"Pre-MS1"))</f>
        <v/>
      </c>
      <c r="I421" s="32">
        <f>IF(OR(A421="",E421=""),0,IF(D421="Expense",-E421,E421))</f>
        <v/>
      </c>
      <c r="J421" s="33">
        <f>IF(A421="","",Settings!$C$5+SUM($I$5:I421))</f>
        <v/>
      </c>
    </row>
    <row r="422">
      <c r="A422" s="28" t="n"/>
      <c r="B422" s="29" t="n"/>
      <c r="C422" s="29" t="n"/>
      <c r="D422" s="30">
        <f>IF(C422="","",IFERROR(INDEX(Settings!$C$21:$C$34,MATCH(C422,Settings!$B$21:$B$34,0)),"Check category"))</f>
        <v/>
      </c>
      <c r="E422" s="31" t="n"/>
      <c r="F422" s="29" t="n"/>
      <c r="G422" s="29" t="n"/>
      <c r="H422" s="30">
        <f>IF(A422="","",IFERROR(LOOKUP(A422,Settings!$C$14:$C$17,Settings!$B$14:$B$17),"Pre-MS1"))</f>
        <v/>
      </c>
      <c r="I422" s="32">
        <f>IF(OR(A422="",E422=""),0,IF(D422="Expense",-E422,E422))</f>
        <v/>
      </c>
      <c r="J422" s="33">
        <f>IF(A422="","",Settings!$C$5+SUM($I$5:I422))</f>
        <v/>
      </c>
    </row>
    <row r="423">
      <c r="A423" s="28" t="n"/>
      <c r="B423" s="29" t="n"/>
      <c r="C423" s="29" t="n"/>
      <c r="D423" s="30">
        <f>IF(C423="","",IFERROR(INDEX(Settings!$C$21:$C$34,MATCH(C423,Settings!$B$21:$B$34,0)),"Check category"))</f>
        <v/>
      </c>
      <c r="E423" s="31" t="n"/>
      <c r="F423" s="29" t="n"/>
      <c r="G423" s="29" t="n"/>
      <c r="H423" s="30">
        <f>IF(A423="","",IFERROR(LOOKUP(A423,Settings!$C$14:$C$17,Settings!$B$14:$B$17),"Pre-MS1"))</f>
        <v/>
      </c>
      <c r="I423" s="32">
        <f>IF(OR(A423="",E423=""),0,IF(D423="Expense",-E423,E423))</f>
        <v/>
      </c>
      <c r="J423" s="33">
        <f>IF(A423="","",Settings!$C$5+SUM($I$5:I423))</f>
        <v/>
      </c>
    </row>
    <row r="424">
      <c r="A424" s="28" t="n"/>
      <c r="B424" s="29" t="n"/>
      <c r="C424" s="29" t="n"/>
      <c r="D424" s="30">
        <f>IF(C424="","",IFERROR(INDEX(Settings!$C$21:$C$34,MATCH(C424,Settings!$B$21:$B$34,0)),"Check category"))</f>
        <v/>
      </c>
      <c r="E424" s="31" t="n"/>
      <c r="F424" s="29" t="n"/>
      <c r="G424" s="29" t="n"/>
      <c r="H424" s="30">
        <f>IF(A424="","",IFERROR(LOOKUP(A424,Settings!$C$14:$C$17,Settings!$B$14:$B$17),"Pre-MS1"))</f>
        <v/>
      </c>
      <c r="I424" s="32">
        <f>IF(OR(A424="",E424=""),0,IF(D424="Expense",-E424,E424))</f>
        <v/>
      </c>
      <c r="J424" s="33">
        <f>IF(A424="","",Settings!$C$5+SUM($I$5:I424))</f>
        <v/>
      </c>
    </row>
    <row r="425">
      <c r="A425" s="28" t="n"/>
      <c r="B425" s="29" t="n"/>
      <c r="C425" s="29" t="n"/>
      <c r="D425" s="30">
        <f>IF(C425="","",IFERROR(INDEX(Settings!$C$21:$C$34,MATCH(C425,Settings!$B$21:$B$34,0)),"Check category"))</f>
        <v/>
      </c>
      <c r="E425" s="31" t="n"/>
      <c r="F425" s="29" t="n"/>
      <c r="G425" s="29" t="n"/>
      <c r="H425" s="30">
        <f>IF(A425="","",IFERROR(LOOKUP(A425,Settings!$C$14:$C$17,Settings!$B$14:$B$17),"Pre-MS1"))</f>
        <v/>
      </c>
      <c r="I425" s="32">
        <f>IF(OR(A425="",E425=""),0,IF(D425="Expense",-E425,E425))</f>
        <v/>
      </c>
      <c r="J425" s="33">
        <f>IF(A425="","",Settings!$C$5+SUM($I$5:I425))</f>
        <v/>
      </c>
    </row>
    <row r="426">
      <c r="A426" s="28" t="n"/>
      <c r="B426" s="29" t="n"/>
      <c r="C426" s="29" t="n"/>
      <c r="D426" s="30">
        <f>IF(C426="","",IFERROR(INDEX(Settings!$C$21:$C$34,MATCH(C426,Settings!$B$21:$B$34,0)),"Check category"))</f>
        <v/>
      </c>
      <c r="E426" s="31" t="n"/>
      <c r="F426" s="29" t="n"/>
      <c r="G426" s="29" t="n"/>
      <c r="H426" s="30">
        <f>IF(A426="","",IFERROR(LOOKUP(A426,Settings!$C$14:$C$17,Settings!$B$14:$B$17),"Pre-MS1"))</f>
        <v/>
      </c>
      <c r="I426" s="32">
        <f>IF(OR(A426="",E426=""),0,IF(D426="Expense",-E426,E426))</f>
        <v/>
      </c>
      <c r="J426" s="33">
        <f>IF(A426="","",Settings!$C$5+SUM($I$5:I426))</f>
        <v/>
      </c>
    </row>
    <row r="427">
      <c r="A427" s="28" t="n"/>
      <c r="B427" s="29" t="n"/>
      <c r="C427" s="29" t="n"/>
      <c r="D427" s="30">
        <f>IF(C427="","",IFERROR(INDEX(Settings!$C$21:$C$34,MATCH(C427,Settings!$B$21:$B$34,0)),"Check category"))</f>
        <v/>
      </c>
      <c r="E427" s="31" t="n"/>
      <c r="F427" s="29" t="n"/>
      <c r="G427" s="29" t="n"/>
      <c r="H427" s="30">
        <f>IF(A427="","",IFERROR(LOOKUP(A427,Settings!$C$14:$C$17,Settings!$B$14:$B$17),"Pre-MS1"))</f>
        <v/>
      </c>
      <c r="I427" s="32">
        <f>IF(OR(A427="",E427=""),0,IF(D427="Expense",-E427,E427))</f>
        <v/>
      </c>
      <c r="J427" s="33">
        <f>IF(A427="","",Settings!$C$5+SUM($I$5:I427))</f>
        <v/>
      </c>
    </row>
    <row r="428">
      <c r="A428" s="28" t="n"/>
      <c r="B428" s="29" t="n"/>
      <c r="C428" s="29" t="n"/>
      <c r="D428" s="30">
        <f>IF(C428="","",IFERROR(INDEX(Settings!$C$21:$C$34,MATCH(C428,Settings!$B$21:$B$34,0)),"Check category"))</f>
        <v/>
      </c>
      <c r="E428" s="31" t="n"/>
      <c r="F428" s="29" t="n"/>
      <c r="G428" s="29" t="n"/>
      <c r="H428" s="30">
        <f>IF(A428="","",IFERROR(LOOKUP(A428,Settings!$C$14:$C$17,Settings!$B$14:$B$17),"Pre-MS1"))</f>
        <v/>
      </c>
      <c r="I428" s="32">
        <f>IF(OR(A428="",E428=""),0,IF(D428="Expense",-E428,E428))</f>
        <v/>
      </c>
      <c r="J428" s="33">
        <f>IF(A428="","",Settings!$C$5+SUM($I$5:I428))</f>
        <v/>
      </c>
    </row>
    <row r="429">
      <c r="A429" s="28" t="n"/>
      <c r="B429" s="29" t="n"/>
      <c r="C429" s="29" t="n"/>
      <c r="D429" s="30">
        <f>IF(C429="","",IFERROR(INDEX(Settings!$C$21:$C$34,MATCH(C429,Settings!$B$21:$B$34,0)),"Check category"))</f>
        <v/>
      </c>
      <c r="E429" s="31" t="n"/>
      <c r="F429" s="29" t="n"/>
      <c r="G429" s="29" t="n"/>
      <c r="H429" s="30">
        <f>IF(A429="","",IFERROR(LOOKUP(A429,Settings!$C$14:$C$17,Settings!$B$14:$B$17),"Pre-MS1"))</f>
        <v/>
      </c>
      <c r="I429" s="32">
        <f>IF(OR(A429="",E429=""),0,IF(D429="Expense",-E429,E429))</f>
        <v/>
      </c>
      <c r="J429" s="33">
        <f>IF(A429="","",Settings!$C$5+SUM($I$5:I429))</f>
        <v/>
      </c>
    </row>
    <row r="430">
      <c r="A430" s="28" t="n"/>
      <c r="B430" s="29" t="n"/>
      <c r="C430" s="29" t="n"/>
      <c r="D430" s="30">
        <f>IF(C430="","",IFERROR(INDEX(Settings!$C$21:$C$34,MATCH(C430,Settings!$B$21:$B$34,0)),"Check category"))</f>
        <v/>
      </c>
      <c r="E430" s="31" t="n"/>
      <c r="F430" s="29" t="n"/>
      <c r="G430" s="29" t="n"/>
      <c r="H430" s="30">
        <f>IF(A430="","",IFERROR(LOOKUP(A430,Settings!$C$14:$C$17,Settings!$B$14:$B$17),"Pre-MS1"))</f>
        <v/>
      </c>
      <c r="I430" s="32">
        <f>IF(OR(A430="",E430=""),0,IF(D430="Expense",-E430,E430))</f>
        <v/>
      </c>
      <c r="J430" s="33">
        <f>IF(A430="","",Settings!$C$5+SUM($I$5:I430))</f>
        <v/>
      </c>
    </row>
    <row r="431">
      <c r="A431" s="28" t="n"/>
      <c r="B431" s="29" t="n"/>
      <c r="C431" s="29" t="n"/>
      <c r="D431" s="30">
        <f>IF(C431="","",IFERROR(INDEX(Settings!$C$21:$C$34,MATCH(C431,Settings!$B$21:$B$34,0)),"Check category"))</f>
        <v/>
      </c>
      <c r="E431" s="31" t="n"/>
      <c r="F431" s="29" t="n"/>
      <c r="G431" s="29" t="n"/>
      <c r="H431" s="30">
        <f>IF(A431="","",IFERROR(LOOKUP(A431,Settings!$C$14:$C$17,Settings!$B$14:$B$17),"Pre-MS1"))</f>
        <v/>
      </c>
      <c r="I431" s="32">
        <f>IF(OR(A431="",E431=""),0,IF(D431="Expense",-E431,E431))</f>
        <v/>
      </c>
      <c r="J431" s="33">
        <f>IF(A431="","",Settings!$C$5+SUM($I$5:I431))</f>
        <v/>
      </c>
    </row>
    <row r="432">
      <c r="A432" s="28" t="n"/>
      <c r="B432" s="29" t="n"/>
      <c r="C432" s="29" t="n"/>
      <c r="D432" s="30">
        <f>IF(C432="","",IFERROR(INDEX(Settings!$C$21:$C$34,MATCH(C432,Settings!$B$21:$B$34,0)),"Check category"))</f>
        <v/>
      </c>
      <c r="E432" s="31" t="n"/>
      <c r="F432" s="29" t="n"/>
      <c r="G432" s="29" t="n"/>
      <c r="H432" s="30">
        <f>IF(A432="","",IFERROR(LOOKUP(A432,Settings!$C$14:$C$17,Settings!$B$14:$B$17),"Pre-MS1"))</f>
        <v/>
      </c>
      <c r="I432" s="32">
        <f>IF(OR(A432="",E432=""),0,IF(D432="Expense",-E432,E432))</f>
        <v/>
      </c>
      <c r="J432" s="33">
        <f>IF(A432="","",Settings!$C$5+SUM($I$5:I432))</f>
        <v/>
      </c>
    </row>
    <row r="433">
      <c r="A433" s="28" t="n"/>
      <c r="B433" s="29" t="n"/>
      <c r="C433" s="29" t="n"/>
      <c r="D433" s="30">
        <f>IF(C433="","",IFERROR(INDEX(Settings!$C$21:$C$34,MATCH(C433,Settings!$B$21:$B$34,0)),"Check category"))</f>
        <v/>
      </c>
      <c r="E433" s="31" t="n"/>
      <c r="F433" s="29" t="n"/>
      <c r="G433" s="29" t="n"/>
      <c r="H433" s="30">
        <f>IF(A433="","",IFERROR(LOOKUP(A433,Settings!$C$14:$C$17,Settings!$B$14:$B$17),"Pre-MS1"))</f>
        <v/>
      </c>
      <c r="I433" s="32">
        <f>IF(OR(A433="",E433=""),0,IF(D433="Expense",-E433,E433))</f>
        <v/>
      </c>
      <c r="J433" s="33">
        <f>IF(A433="","",Settings!$C$5+SUM($I$5:I433))</f>
        <v/>
      </c>
    </row>
    <row r="434">
      <c r="A434" s="28" t="n"/>
      <c r="B434" s="29" t="n"/>
      <c r="C434" s="29" t="n"/>
      <c r="D434" s="30">
        <f>IF(C434="","",IFERROR(INDEX(Settings!$C$21:$C$34,MATCH(C434,Settings!$B$21:$B$34,0)),"Check category"))</f>
        <v/>
      </c>
      <c r="E434" s="31" t="n"/>
      <c r="F434" s="29" t="n"/>
      <c r="G434" s="29" t="n"/>
      <c r="H434" s="30">
        <f>IF(A434="","",IFERROR(LOOKUP(A434,Settings!$C$14:$C$17,Settings!$B$14:$B$17),"Pre-MS1"))</f>
        <v/>
      </c>
      <c r="I434" s="32">
        <f>IF(OR(A434="",E434=""),0,IF(D434="Expense",-E434,E434))</f>
        <v/>
      </c>
      <c r="J434" s="33">
        <f>IF(A434="","",Settings!$C$5+SUM($I$5:I434))</f>
        <v/>
      </c>
    </row>
    <row r="435">
      <c r="A435" s="28" t="n"/>
      <c r="B435" s="29" t="n"/>
      <c r="C435" s="29" t="n"/>
      <c r="D435" s="30">
        <f>IF(C435="","",IFERROR(INDEX(Settings!$C$21:$C$34,MATCH(C435,Settings!$B$21:$B$34,0)),"Check category"))</f>
        <v/>
      </c>
      <c r="E435" s="31" t="n"/>
      <c r="F435" s="29" t="n"/>
      <c r="G435" s="29" t="n"/>
      <c r="H435" s="30">
        <f>IF(A435="","",IFERROR(LOOKUP(A435,Settings!$C$14:$C$17,Settings!$B$14:$B$17),"Pre-MS1"))</f>
        <v/>
      </c>
      <c r="I435" s="32">
        <f>IF(OR(A435="",E435=""),0,IF(D435="Expense",-E435,E435))</f>
        <v/>
      </c>
      <c r="J435" s="33">
        <f>IF(A435="","",Settings!$C$5+SUM($I$5:I435))</f>
        <v/>
      </c>
    </row>
    <row r="436">
      <c r="A436" s="28" t="n"/>
      <c r="B436" s="29" t="n"/>
      <c r="C436" s="29" t="n"/>
      <c r="D436" s="30">
        <f>IF(C436="","",IFERROR(INDEX(Settings!$C$21:$C$34,MATCH(C436,Settings!$B$21:$B$34,0)),"Check category"))</f>
        <v/>
      </c>
      <c r="E436" s="31" t="n"/>
      <c r="F436" s="29" t="n"/>
      <c r="G436" s="29" t="n"/>
      <c r="H436" s="30">
        <f>IF(A436="","",IFERROR(LOOKUP(A436,Settings!$C$14:$C$17,Settings!$B$14:$B$17),"Pre-MS1"))</f>
        <v/>
      </c>
      <c r="I436" s="32">
        <f>IF(OR(A436="",E436=""),0,IF(D436="Expense",-E436,E436))</f>
        <v/>
      </c>
      <c r="J436" s="33">
        <f>IF(A436="","",Settings!$C$5+SUM($I$5:I436))</f>
        <v/>
      </c>
    </row>
    <row r="437">
      <c r="A437" s="28" t="n"/>
      <c r="B437" s="29" t="n"/>
      <c r="C437" s="29" t="n"/>
      <c r="D437" s="30">
        <f>IF(C437="","",IFERROR(INDEX(Settings!$C$21:$C$34,MATCH(C437,Settings!$B$21:$B$34,0)),"Check category"))</f>
        <v/>
      </c>
      <c r="E437" s="31" t="n"/>
      <c r="F437" s="29" t="n"/>
      <c r="G437" s="29" t="n"/>
      <c r="H437" s="30">
        <f>IF(A437="","",IFERROR(LOOKUP(A437,Settings!$C$14:$C$17,Settings!$B$14:$B$17),"Pre-MS1"))</f>
        <v/>
      </c>
      <c r="I437" s="32">
        <f>IF(OR(A437="",E437=""),0,IF(D437="Expense",-E437,E437))</f>
        <v/>
      </c>
      <c r="J437" s="33">
        <f>IF(A437="","",Settings!$C$5+SUM($I$5:I437))</f>
        <v/>
      </c>
    </row>
    <row r="438">
      <c r="A438" s="28" t="n"/>
      <c r="B438" s="29" t="n"/>
      <c r="C438" s="29" t="n"/>
      <c r="D438" s="30">
        <f>IF(C438="","",IFERROR(INDEX(Settings!$C$21:$C$34,MATCH(C438,Settings!$B$21:$B$34,0)),"Check category"))</f>
        <v/>
      </c>
      <c r="E438" s="31" t="n"/>
      <c r="F438" s="29" t="n"/>
      <c r="G438" s="29" t="n"/>
      <c r="H438" s="30">
        <f>IF(A438="","",IFERROR(LOOKUP(A438,Settings!$C$14:$C$17,Settings!$B$14:$B$17),"Pre-MS1"))</f>
        <v/>
      </c>
      <c r="I438" s="32">
        <f>IF(OR(A438="",E438=""),0,IF(D438="Expense",-E438,E438))</f>
        <v/>
      </c>
      <c r="J438" s="33">
        <f>IF(A438="","",Settings!$C$5+SUM($I$5:I438))</f>
        <v/>
      </c>
    </row>
    <row r="439">
      <c r="A439" s="28" t="n"/>
      <c r="B439" s="29" t="n"/>
      <c r="C439" s="29" t="n"/>
      <c r="D439" s="30">
        <f>IF(C439="","",IFERROR(INDEX(Settings!$C$21:$C$34,MATCH(C439,Settings!$B$21:$B$34,0)),"Check category"))</f>
        <v/>
      </c>
      <c r="E439" s="31" t="n"/>
      <c r="F439" s="29" t="n"/>
      <c r="G439" s="29" t="n"/>
      <c r="H439" s="30">
        <f>IF(A439="","",IFERROR(LOOKUP(A439,Settings!$C$14:$C$17,Settings!$B$14:$B$17),"Pre-MS1"))</f>
        <v/>
      </c>
      <c r="I439" s="32">
        <f>IF(OR(A439="",E439=""),0,IF(D439="Expense",-E439,E439))</f>
        <v/>
      </c>
      <c r="J439" s="33">
        <f>IF(A439="","",Settings!$C$5+SUM($I$5:I439))</f>
        <v/>
      </c>
    </row>
    <row r="440">
      <c r="A440" s="28" t="n"/>
      <c r="B440" s="29" t="n"/>
      <c r="C440" s="29" t="n"/>
      <c r="D440" s="30">
        <f>IF(C440="","",IFERROR(INDEX(Settings!$C$21:$C$34,MATCH(C440,Settings!$B$21:$B$34,0)),"Check category"))</f>
        <v/>
      </c>
      <c r="E440" s="31" t="n"/>
      <c r="F440" s="29" t="n"/>
      <c r="G440" s="29" t="n"/>
      <c r="H440" s="30">
        <f>IF(A440="","",IFERROR(LOOKUP(A440,Settings!$C$14:$C$17,Settings!$B$14:$B$17),"Pre-MS1"))</f>
        <v/>
      </c>
      <c r="I440" s="32">
        <f>IF(OR(A440="",E440=""),0,IF(D440="Expense",-E440,E440))</f>
        <v/>
      </c>
      <c r="J440" s="33">
        <f>IF(A440="","",Settings!$C$5+SUM($I$5:I440))</f>
        <v/>
      </c>
    </row>
    <row r="441">
      <c r="A441" s="28" t="n"/>
      <c r="B441" s="29" t="n"/>
      <c r="C441" s="29" t="n"/>
      <c r="D441" s="30">
        <f>IF(C441="","",IFERROR(INDEX(Settings!$C$21:$C$34,MATCH(C441,Settings!$B$21:$B$34,0)),"Check category"))</f>
        <v/>
      </c>
      <c r="E441" s="31" t="n"/>
      <c r="F441" s="29" t="n"/>
      <c r="G441" s="29" t="n"/>
      <c r="H441" s="30">
        <f>IF(A441="","",IFERROR(LOOKUP(A441,Settings!$C$14:$C$17,Settings!$B$14:$B$17),"Pre-MS1"))</f>
        <v/>
      </c>
      <c r="I441" s="32">
        <f>IF(OR(A441="",E441=""),0,IF(D441="Expense",-E441,E441))</f>
        <v/>
      </c>
      <c r="J441" s="33">
        <f>IF(A441="","",Settings!$C$5+SUM($I$5:I441))</f>
        <v/>
      </c>
    </row>
    <row r="442">
      <c r="A442" s="28" t="n"/>
      <c r="B442" s="29" t="n"/>
      <c r="C442" s="29" t="n"/>
      <c r="D442" s="30">
        <f>IF(C442="","",IFERROR(INDEX(Settings!$C$21:$C$34,MATCH(C442,Settings!$B$21:$B$34,0)),"Check category"))</f>
        <v/>
      </c>
      <c r="E442" s="31" t="n"/>
      <c r="F442" s="29" t="n"/>
      <c r="G442" s="29" t="n"/>
      <c r="H442" s="30">
        <f>IF(A442="","",IFERROR(LOOKUP(A442,Settings!$C$14:$C$17,Settings!$B$14:$B$17),"Pre-MS1"))</f>
        <v/>
      </c>
      <c r="I442" s="32">
        <f>IF(OR(A442="",E442=""),0,IF(D442="Expense",-E442,E442))</f>
        <v/>
      </c>
      <c r="J442" s="33">
        <f>IF(A442="","",Settings!$C$5+SUM($I$5:I442))</f>
        <v/>
      </c>
    </row>
    <row r="443">
      <c r="A443" s="28" t="n"/>
      <c r="B443" s="29" t="n"/>
      <c r="C443" s="29" t="n"/>
      <c r="D443" s="30">
        <f>IF(C443="","",IFERROR(INDEX(Settings!$C$21:$C$34,MATCH(C443,Settings!$B$21:$B$34,0)),"Check category"))</f>
        <v/>
      </c>
      <c r="E443" s="31" t="n"/>
      <c r="F443" s="29" t="n"/>
      <c r="G443" s="29" t="n"/>
      <c r="H443" s="30">
        <f>IF(A443="","",IFERROR(LOOKUP(A443,Settings!$C$14:$C$17,Settings!$B$14:$B$17),"Pre-MS1"))</f>
        <v/>
      </c>
      <c r="I443" s="32">
        <f>IF(OR(A443="",E443=""),0,IF(D443="Expense",-E443,E443))</f>
        <v/>
      </c>
      <c r="J443" s="33">
        <f>IF(A443="","",Settings!$C$5+SUM($I$5:I443))</f>
        <v/>
      </c>
    </row>
    <row r="444">
      <c r="A444" s="28" t="n"/>
      <c r="B444" s="29" t="n"/>
      <c r="C444" s="29" t="n"/>
      <c r="D444" s="30">
        <f>IF(C444="","",IFERROR(INDEX(Settings!$C$21:$C$34,MATCH(C444,Settings!$B$21:$B$34,0)),"Check category"))</f>
        <v/>
      </c>
      <c r="E444" s="31" t="n"/>
      <c r="F444" s="29" t="n"/>
      <c r="G444" s="29" t="n"/>
      <c r="H444" s="30">
        <f>IF(A444="","",IFERROR(LOOKUP(A444,Settings!$C$14:$C$17,Settings!$B$14:$B$17),"Pre-MS1"))</f>
        <v/>
      </c>
      <c r="I444" s="32">
        <f>IF(OR(A444="",E444=""),0,IF(D444="Expense",-E444,E444))</f>
        <v/>
      </c>
      <c r="J444" s="33">
        <f>IF(A444="","",Settings!$C$5+SUM($I$5:I444))</f>
        <v/>
      </c>
    </row>
    <row r="445">
      <c r="A445" s="28" t="n"/>
      <c r="B445" s="29" t="n"/>
      <c r="C445" s="29" t="n"/>
      <c r="D445" s="30">
        <f>IF(C445="","",IFERROR(INDEX(Settings!$C$21:$C$34,MATCH(C445,Settings!$B$21:$B$34,0)),"Check category"))</f>
        <v/>
      </c>
      <c r="E445" s="31" t="n"/>
      <c r="F445" s="29" t="n"/>
      <c r="G445" s="29" t="n"/>
      <c r="H445" s="30">
        <f>IF(A445="","",IFERROR(LOOKUP(A445,Settings!$C$14:$C$17,Settings!$B$14:$B$17),"Pre-MS1"))</f>
        <v/>
      </c>
      <c r="I445" s="32">
        <f>IF(OR(A445="",E445=""),0,IF(D445="Expense",-E445,E445))</f>
        <v/>
      </c>
      <c r="J445" s="33">
        <f>IF(A445="","",Settings!$C$5+SUM($I$5:I445))</f>
        <v/>
      </c>
    </row>
    <row r="446">
      <c r="A446" s="28" t="n"/>
      <c r="B446" s="29" t="n"/>
      <c r="C446" s="29" t="n"/>
      <c r="D446" s="30">
        <f>IF(C446="","",IFERROR(INDEX(Settings!$C$21:$C$34,MATCH(C446,Settings!$B$21:$B$34,0)),"Check category"))</f>
        <v/>
      </c>
      <c r="E446" s="31" t="n"/>
      <c r="F446" s="29" t="n"/>
      <c r="G446" s="29" t="n"/>
      <c r="H446" s="30">
        <f>IF(A446="","",IFERROR(LOOKUP(A446,Settings!$C$14:$C$17,Settings!$B$14:$B$17),"Pre-MS1"))</f>
        <v/>
      </c>
      <c r="I446" s="32">
        <f>IF(OR(A446="",E446=""),0,IF(D446="Expense",-E446,E446))</f>
        <v/>
      </c>
      <c r="J446" s="33">
        <f>IF(A446="","",Settings!$C$5+SUM($I$5:I446))</f>
        <v/>
      </c>
    </row>
    <row r="447">
      <c r="A447" s="28" t="n"/>
      <c r="B447" s="29" t="n"/>
      <c r="C447" s="29" t="n"/>
      <c r="D447" s="30">
        <f>IF(C447="","",IFERROR(INDEX(Settings!$C$21:$C$34,MATCH(C447,Settings!$B$21:$B$34,0)),"Check category"))</f>
        <v/>
      </c>
      <c r="E447" s="31" t="n"/>
      <c r="F447" s="29" t="n"/>
      <c r="G447" s="29" t="n"/>
      <c r="H447" s="30">
        <f>IF(A447="","",IFERROR(LOOKUP(A447,Settings!$C$14:$C$17,Settings!$B$14:$B$17),"Pre-MS1"))</f>
        <v/>
      </c>
      <c r="I447" s="32">
        <f>IF(OR(A447="",E447=""),0,IF(D447="Expense",-E447,E447))</f>
        <v/>
      </c>
      <c r="J447" s="33">
        <f>IF(A447="","",Settings!$C$5+SUM($I$5:I447))</f>
        <v/>
      </c>
    </row>
    <row r="448">
      <c r="A448" s="28" t="n"/>
      <c r="B448" s="29" t="n"/>
      <c r="C448" s="29" t="n"/>
      <c r="D448" s="30">
        <f>IF(C448="","",IFERROR(INDEX(Settings!$C$21:$C$34,MATCH(C448,Settings!$B$21:$B$34,0)),"Check category"))</f>
        <v/>
      </c>
      <c r="E448" s="31" t="n"/>
      <c r="F448" s="29" t="n"/>
      <c r="G448" s="29" t="n"/>
      <c r="H448" s="30">
        <f>IF(A448="","",IFERROR(LOOKUP(A448,Settings!$C$14:$C$17,Settings!$B$14:$B$17),"Pre-MS1"))</f>
        <v/>
      </c>
      <c r="I448" s="32">
        <f>IF(OR(A448="",E448=""),0,IF(D448="Expense",-E448,E448))</f>
        <v/>
      </c>
      <c r="J448" s="33">
        <f>IF(A448="","",Settings!$C$5+SUM($I$5:I448))</f>
        <v/>
      </c>
    </row>
    <row r="449">
      <c r="A449" s="28" t="n"/>
      <c r="B449" s="29" t="n"/>
      <c r="C449" s="29" t="n"/>
      <c r="D449" s="30">
        <f>IF(C449="","",IFERROR(INDEX(Settings!$C$21:$C$34,MATCH(C449,Settings!$B$21:$B$34,0)),"Check category"))</f>
        <v/>
      </c>
      <c r="E449" s="31" t="n"/>
      <c r="F449" s="29" t="n"/>
      <c r="G449" s="29" t="n"/>
      <c r="H449" s="30">
        <f>IF(A449="","",IFERROR(LOOKUP(A449,Settings!$C$14:$C$17,Settings!$B$14:$B$17),"Pre-MS1"))</f>
        <v/>
      </c>
      <c r="I449" s="32">
        <f>IF(OR(A449="",E449=""),0,IF(D449="Expense",-E449,E449))</f>
        <v/>
      </c>
      <c r="J449" s="33">
        <f>IF(A449="","",Settings!$C$5+SUM($I$5:I449))</f>
        <v/>
      </c>
    </row>
    <row r="450">
      <c r="A450" s="28" t="n"/>
      <c r="B450" s="29" t="n"/>
      <c r="C450" s="29" t="n"/>
      <c r="D450" s="30">
        <f>IF(C450="","",IFERROR(INDEX(Settings!$C$21:$C$34,MATCH(C450,Settings!$B$21:$B$34,0)),"Check category"))</f>
        <v/>
      </c>
      <c r="E450" s="31" t="n"/>
      <c r="F450" s="29" t="n"/>
      <c r="G450" s="29" t="n"/>
      <c r="H450" s="30">
        <f>IF(A450="","",IFERROR(LOOKUP(A450,Settings!$C$14:$C$17,Settings!$B$14:$B$17),"Pre-MS1"))</f>
        <v/>
      </c>
      <c r="I450" s="32">
        <f>IF(OR(A450="",E450=""),0,IF(D450="Expense",-E450,E450))</f>
        <v/>
      </c>
      <c r="J450" s="33">
        <f>IF(A450="","",Settings!$C$5+SUM($I$5:I450))</f>
        <v/>
      </c>
    </row>
    <row r="451">
      <c r="A451" s="28" t="n"/>
      <c r="B451" s="29" t="n"/>
      <c r="C451" s="29" t="n"/>
      <c r="D451" s="30">
        <f>IF(C451="","",IFERROR(INDEX(Settings!$C$21:$C$34,MATCH(C451,Settings!$B$21:$B$34,0)),"Check category"))</f>
        <v/>
      </c>
      <c r="E451" s="31" t="n"/>
      <c r="F451" s="29" t="n"/>
      <c r="G451" s="29" t="n"/>
      <c r="H451" s="30">
        <f>IF(A451="","",IFERROR(LOOKUP(A451,Settings!$C$14:$C$17,Settings!$B$14:$B$17),"Pre-MS1"))</f>
        <v/>
      </c>
      <c r="I451" s="32">
        <f>IF(OR(A451="",E451=""),0,IF(D451="Expense",-E451,E451))</f>
        <v/>
      </c>
      <c r="J451" s="33">
        <f>IF(A451="","",Settings!$C$5+SUM($I$5:I451))</f>
        <v/>
      </c>
    </row>
    <row r="452">
      <c r="A452" s="28" t="n"/>
      <c r="B452" s="29" t="n"/>
      <c r="C452" s="29" t="n"/>
      <c r="D452" s="30">
        <f>IF(C452="","",IFERROR(INDEX(Settings!$C$21:$C$34,MATCH(C452,Settings!$B$21:$B$34,0)),"Check category"))</f>
        <v/>
      </c>
      <c r="E452" s="31" t="n"/>
      <c r="F452" s="29" t="n"/>
      <c r="G452" s="29" t="n"/>
      <c r="H452" s="30">
        <f>IF(A452="","",IFERROR(LOOKUP(A452,Settings!$C$14:$C$17,Settings!$B$14:$B$17),"Pre-MS1"))</f>
        <v/>
      </c>
      <c r="I452" s="32">
        <f>IF(OR(A452="",E452=""),0,IF(D452="Expense",-E452,E452))</f>
        <v/>
      </c>
      <c r="J452" s="33">
        <f>IF(A452="","",Settings!$C$5+SUM($I$5:I452))</f>
        <v/>
      </c>
    </row>
    <row r="453">
      <c r="A453" s="28" t="n"/>
      <c r="B453" s="29" t="n"/>
      <c r="C453" s="29" t="n"/>
      <c r="D453" s="30">
        <f>IF(C453="","",IFERROR(INDEX(Settings!$C$21:$C$34,MATCH(C453,Settings!$B$21:$B$34,0)),"Check category"))</f>
        <v/>
      </c>
      <c r="E453" s="31" t="n"/>
      <c r="F453" s="29" t="n"/>
      <c r="G453" s="29" t="n"/>
      <c r="H453" s="30">
        <f>IF(A453="","",IFERROR(LOOKUP(A453,Settings!$C$14:$C$17,Settings!$B$14:$B$17),"Pre-MS1"))</f>
        <v/>
      </c>
      <c r="I453" s="32">
        <f>IF(OR(A453="",E453=""),0,IF(D453="Expense",-E453,E453))</f>
        <v/>
      </c>
      <c r="J453" s="33">
        <f>IF(A453="","",Settings!$C$5+SUM($I$5:I453))</f>
        <v/>
      </c>
    </row>
    <row r="454">
      <c r="A454" s="28" t="n"/>
      <c r="B454" s="29" t="n"/>
      <c r="C454" s="29" t="n"/>
      <c r="D454" s="30">
        <f>IF(C454="","",IFERROR(INDEX(Settings!$C$21:$C$34,MATCH(C454,Settings!$B$21:$B$34,0)),"Check category"))</f>
        <v/>
      </c>
      <c r="E454" s="31" t="n"/>
      <c r="F454" s="29" t="n"/>
      <c r="G454" s="29" t="n"/>
      <c r="H454" s="30">
        <f>IF(A454="","",IFERROR(LOOKUP(A454,Settings!$C$14:$C$17,Settings!$B$14:$B$17),"Pre-MS1"))</f>
        <v/>
      </c>
      <c r="I454" s="32">
        <f>IF(OR(A454="",E454=""),0,IF(D454="Expense",-E454,E454))</f>
        <v/>
      </c>
      <c r="J454" s="33">
        <f>IF(A454="","",Settings!$C$5+SUM($I$5:I454))</f>
        <v/>
      </c>
    </row>
    <row r="455">
      <c r="A455" s="28" t="n"/>
      <c r="B455" s="29" t="n"/>
      <c r="C455" s="29" t="n"/>
      <c r="D455" s="30">
        <f>IF(C455="","",IFERROR(INDEX(Settings!$C$21:$C$34,MATCH(C455,Settings!$B$21:$B$34,0)),"Check category"))</f>
        <v/>
      </c>
      <c r="E455" s="31" t="n"/>
      <c r="F455" s="29" t="n"/>
      <c r="G455" s="29" t="n"/>
      <c r="H455" s="30">
        <f>IF(A455="","",IFERROR(LOOKUP(A455,Settings!$C$14:$C$17,Settings!$B$14:$B$17),"Pre-MS1"))</f>
        <v/>
      </c>
      <c r="I455" s="32">
        <f>IF(OR(A455="",E455=""),0,IF(D455="Expense",-E455,E455))</f>
        <v/>
      </c>
      <c r="J455" s="33">
        <f>IF(A455="","",Settings!$C$5+SUM($I$5:I455))</f>
        <v/>
      </c>
    </row>
    <row r="456">
      <c r="A456" s="28" t="n"/>
      <c r="B456" s="29" t="n"/>
      <c r="C456" s="29" t="n"/>
      <c r="D456" s="30">
        <f>IF(C456="","",IFERROR(INDEX(Settings!$C$21:$C$34,MATCH(C456,Settings!$B$21:$B$34,0)),"Check category"))</f>
        <v/>
      </c>
      <c r="E456" s="31" t="n"/>
      <c r="F456" s="29" t="n"/>
      <c r="G456" s="29" t="n"/>
      <c r="H456" s="30">
        <f>IF(A456="","",IFERROR(LOOKUP(A456,Settings!$C$14:$C$17,Settings!$B$14:$B$17),"Pre-MS1"))</f>
        <v/>
      </c>
      <c r="I456" s="32">
        <f>IF(OR(A456="",E456=""),0,IF(D456="Expense",-E456,E456))</f>
        <v/>
      </c>
      <c r="J456" s="33">
        <f>IF(A456="","",Settings!$C$5+SUM($I$5:I456))</f>
        <v/>
      </c>
    </row>
    <row r="457">
      <c r="A457" s="28" t="n"/>
      <c r="B457" s="29" t="n"/>
      <c r="C457" s="29" t="n"/>
      <c r="D457" s="30">
        <f>IF(C457="","",IFERROR(INDEX(Settings!$C$21:$C$34,MATCH(C457,Settings!$B$21:$B$34,0)),"Check category"))</f>
        <v/>
      </c>
      <c r="E457" s="31" t="n"/>
      <c r="F457" s="29" t="n"/>
      <c r="G457" s="29" t="n"/>
      <c r="H457" s="30">
        <f>IF(A457="","",IFERROR(LOOKUP(A457,Settings!$C$14:$C$17,Settings!$B$14:$B$17),"Pre-MS1"))</f>
        <v/>
      </c>
      <c r="I457" s="32">
        <f>IF(OR(A457="",E457=""),0,IF(D457="Expense",-E457,E457))</f>
        <v/>
      </c>
      <c r="J457" s="33">
        <f>IF(A457="","",Settings!$C$5+SUM($I$5:I457))</f>
        <v/>
      </c>
    </row>
    <row r="458">
      <c r="A458" s="28" t="n"/>
      <c r="B458" s="29" t="n"/>
      <c r="C458" s="29" t="n"/>
      <c r="D458" s="30">
        <f>IF(C458="","",IFERROR(INDEX(Settings!$C$21:$C$34,MATCH(C458,Settings!$B$21:$B$34,0)),"Check category"))</f>
        <v/>
      </c>
      <c r="E458" s="31" t="n"/>
      <c r="F458" s="29" t="n"/>
      <c r="G458" s="29" t="n"/>
      <c r="H458" s="30">
        <f>IF(A458="","",IFERROR(LOOKUP(A458,Settings!$C$14:$C$17,Settings!$B$14:$B$17),"Pre-MS1"))</f>
        <v/>
      </c>
      <c r="I458" s="32">
        <f>IF(OR(A458="",E458=""),0,IF(D458="Expense",-E458,E458))</f>
        <v/>
      </c>
      <c r="J458" s="33">
        <f>IF(A458="","",Settings!$C$5+SUM($I$5:I458))</f>
        <v/>
      </c>
    </row>
    <row r="459">
      <c r="A459" s="28" t="n"/>
      <c r="B459" s="29" t="n"/>
      <c r="C459" s="29" t="n"/>
      <c r="D459" s="30">
        <f>IF(C459="","",IFERROR(INDEX(Settings!$C$21:$C$34,MATCH(C459,Settings!$B$21:$B$34,0)),"Check category"))</f>
        <v/>
      </c>
      <c r="E459" s="31" t="n"/>
      <c r="F459" s="29" t="n"/>
      <c r="G459" s="29" t="n"/>
      <c r="H459" s="30">
        <f>IF(A459="","",IFERROR(LOOKUP(A459,Settings!$C$14:$C$17,Settings!$B$14:$B$17),"Pre-MS1"))</f>
        <v/>
      </c>
      <c r="I459" s="32">
        <f>IF(OR(A459="",E459=""),0,IF(D459="Expense",-E459,E459))</f>
        <v/>
      </c>
      <c r="J459" s="33">
        <f>IF(A459="","",Settings!$C$5+SUM($I$5:I459))</f>
        <v/>
      </c>
    </row>
    <row r="460">
      <c r="A460" s="28" t="n"/>
      <c r="B460" s="29" t="n"/>
      <c r="C460" s="29" t="n"/>
      <c r="D460" s="30">
        <f>IF(C460="","",IFERROR(INDEX(Settings!$C$21:$C$34,MATCH(C460,Settings!$B$21:$B$34,0)),"Check category"))</f>
        <v/>
      </c>
      <c r="E460" s="31" t="n"/>
      <c r="F460" s="29" t="n"/>
      <c r="G460" s="29" t="n"/>
      <c r="H460" s="30">
        <f>IF(A460="","",IFERROR(LOOKUP(A460,Settings!$C$14:$C$17,Settings!$B$14:$B$17),"Pre-MS1"))</f>
        <v/>
      </c>
      <c r="I460" s="32">
        <f>IF(OR(A460="",E460=""),0,IF(D460="Expense",-E460,E460))</f>
        <v/>
      </c>
      <c r="J460" s="33">
        <f>IF(A460="","",Settings!$C$5+SUM($I$5:I460))</f>
        <v/>
      </c>
    </row>
    <row r="461">
      <c r="A461" s="28" t="n"/>
      <c r="B461" s="29" t="n"/>
      <c r="C461" s="29" t="n"/>
      <c r="D461" s="30">
        <f>IF(C461="","",IFERROR(INDEX(Settings!$C$21:$C$34,MATCH(C461,Settings!$B$21:$B$34,0)),"Check category"))</f>
        <v/>
      </c>
      <c r="E461" s="31" t="n"/>
      <c r="F461" s="29" t="n"/>
      <c r="G461" s="29" t="n"/>
      <c r="H461" s="30">
        <f>IF(A461="","",IFERROR(LOOKUP(A461,Settings!$C$14:$C$17,Settings!$B$14:$B$17),"Pre-MS1"))</f>
        <v/>
      </c>
      <c r="I461" s="32">
        <f>IF(OR(A461="",E461=""),0,IF(D461="Expense",-E461,E461))</f>
        <v/>
      </c>
      <c r="J461" s="33">
        <f>IF(A461="","",Settings!$C$5+SUM($I$5:I461))</f>
        <v/>
      </c>
    </row>
    <row r="462">
      <c r="A462" s="28" t="n"/>
      <c r="B462" s="29" t="n"/>
      <c r="C462" s="29" t="n"/>
      <c r="D462" s="30">
        <f>IF(C462="","",IFERROR(INDEX(Settings!$C$21:$C$34,MATCH(C462,Settings!$B$21:$B$34,0)),"Check category"))</f>
        <v/>
      </c>
      <c r="E462" s="31" t="n"/>
      <c r="F462" s="29" t="n"/>
      <c r="G462" s="29" t="n"/>
      <c r="H462" s="30">
        <f>IF(A462="","",IFERROR(LOOKUP(A462,Settings!$C$14:$C$17,Settings!$B$14:$B$17),"Pre-MS1"))</f>
        <v/>
      </c>
      <c r="I462" s="32">
        <f>IF(OR(A462="",E462=""),0,IF(D462="Expense",-E462,E462))</f>
        <v/>
      </c>
      <c r="J462" s="33">
        <f>IF(A462="","",Settings!$C$5+SUM($I$5:I462))</f>
        <v/>
      </c>
    </row>
    <row r="463">
      <c r="A463" s="28" t="n"/>
      <c r="B463" s="29" t="n"/>
      <c r="C463" s="29" t="n"/>
      <c r="D463" s="30">
        <f>IF(C463="","",IFERROR(INDEX(Settings!$C$21:$C$34,MATCH(C463,Settings!$B$21:$B$34,0)),"Check category"))</f>
        <v/>
      </c>
      <c r="E463" s="31" t="n"/>
      <c r="F463" s="29" t="n"/>
      <c r="G463" s="29" t="n"/>
      <c r="H463" s="30">
        <f>IF(A463="","",IFERROR(LOOKUP(A463,Settings!$C$14:$C$17,Settings!$B$14:$B$17),"Pre-MS1"))</f>
        <v/>
      </c>
      <c r="I463" s="32">
        <f>IF(OR(A463="",E463=""),0,IF(D463="Expense",-E463,E463))</f>
        <v/>
      </c>
      <c r="J463" s="33">
        <f>IF(A463="","",Settings!$C$5+SUM($I$5:I463))</f>
        <v/>
      </c>
    </row>
    <row r="464">
      <c r="A464" s="28" t="n"/>
      <c r="B464" s="29" t="n"/>
      <c r="C464" s="29" t="n"/>
      <c r="D464" s="30">
        <f>IF(C464="","",IFERROR(INDEX(Settings!$C$21:$C$34,MATCH(C464,Settings!$B$21:$B$34,0)),"Check category"))</f>
        <v/>
      </c>
      <c r="E464" s="31" t="n"/>
      <c r="F464" s="29" t="n"/>
      <c r="G464" s="29" t="n"/>
      <c r="H464" s="30">
        <f>IF(A464="","",IFERROR(LOOKUP(A464,Settings!$C$14:$C$17,Settings!$B$14:$B$17),"Pre-MS1"))</f>
        <v/>
      </c>
      <c r="I464" s="32">
        <f>IF(OR(A464="",E464=""),0,IF(D464="Expense",-E464,E464))</f>
        <v/>
      </c>
      <c r="J464" s="33">
        <f>IF(A464="","",Settings!$C$5+SUM($I$5:I464))</f>
        <v/>
      </c>
    </row>
    <row r="465">
      <c r="A465" s="28" t="n"/>
      <c r="B465" s="29" t="n"/>
      <c r="C465" s="29" t="n"/>
      <c r="D465" s="30">
        <f>IF(C465="","",IFERROR(INDEX(Settings!$C$21:$C$34,MATCH(C465,Settings!$B$21:$B$34,0)),"Check category"))</f>
        <v/>
      </c>
      <c r="E465" s="31" t="n"/>
      <c r="F465" s="29" t="n"/>
      <c r="G465" s="29" t="n"/>
      <c r="H465" s="30">
        <f>IF(A465="","",IFERROR(LOOKUP(A465,Settings!$C$14:$C$17,Settings!$B$14:$B$17),"Pre-MS1"))</f>
        <v/>
      </c>
      <c r="I465" s="32">
        <f>IF(OR(A465="",E465=""),0,IF(D465="Expense",-E465,E465))</f>
        <v/>
      </c>
      <c r="J465" s="33">
        <f>IF(A465="","",Settings!$C$5+SUM($I$5:I465))</f>
        <v/>
      </c>
    </row>
    <row r="466">
      <c r="A466" s="28" t="n"/>
      <c r="B466" s="29" t="n"/>
      <c r="C466" s="29" t="n"/>
      <c r="D466" s="30">
        <f>IF(C466="","",IFERROR(INDEX(Settings!$C$21:$C$34,MATCH(C466,Settings!$B$21:$B$34,0)),"Check category"))</f>
        <v/>
      </c>
      <c r="E466" s="31" t="n"/>
      <c r="F466" s="29" t="n"/>
      <c r="G466" s="29" t="n"/>
      <c r="H466" s="30">
        <f>IF(A466="","",IFERROR(LOOKUP(A466,Settings!$C$14:$C$17,Settings!$B$14:$B$17),"Pre-MS1"))</f>
        <v/>
      </c>
      <c r="I466" s="32">
        <f>IF(OR(A466="",E466=""),0,IF(D466="Expense",-E466,E466))</f>
        <v/>
      </c>
      <c r="J466" s="33">
        <f>IF(A466="","",Settings!$C$5+SUM($I$5:I466))</f>
        <v/>
      </c>
    </row>
    <row r="467">
      <c r="A467" s="28" t="n"/>
      <c r="B467" s="29" t="n"/>
      <c r="C467" s="29" t="n"/>
      <c r="D467" s="30">
        <f>IF(C467="","",IFERROR(INDEX(Settings!$C$21:$C$34,MATCH(C467,Settings!$B$21:$B$34,0)),"Check category"))</f>
        <v/>
      </c>
      <c r="E467" s="31" t="n"/>
      <c r="F467" s="29" t="n"/>
      <c r="G467" s="29" t="n"/>
      <c r="H467" s="30">
        <f>IF(A467="","",IFERROR(LOOKUP(A467,Settings!$C$14:$C$17,Settings!$B$14:$B$17),"Pre-MS1"))</f>
        <v/>
      </c>
      <c r="I467" s="32">
        <f>IF(OR(A467="",E467=""),0,IF(D467="Expense",-E467,E467))</f>
        <v/>
      </c>
      <c r="J467" s="33">
        <f>IF(A467="","",Settings!$C$5+SUM($I$5:I467))</f>
        <v/>
      </c>
    </row>
    <row r="468">
      <c r="A468" s="28" t="n"/>
      <c r="B468" s="29" t="n"/>
      <c r="C468" s="29" t="n"/>
      <c r="D468" s="30">
        <f>IF(C468="","",IFERROR(INDEX(Settings!$C$21:$C$34,MATCH(C468,Settings!$B$21:$B$34,0)),"Check category"))</f>
        <v/>
      </c>
      <c r="E468" s="31" t="n"/>
      <c r="F468" s="29" t="n"/>
      <c r="G468" s="29" t="n"/>
      <c r="H468" s="30">
        <f>IF(A468="","",IFERROR(LOOKUP(A468,Settings!$C$14:$C$17,Settings!$B$14:$B$17),"Pre-MS1"))</f>
        <v/>
      </c>
      <c r="I468" s="32">
        <f>IF(OR(A468="",E468=""),0,IF(D468="Expense",-E468,E468))</f>
        <v/>
      </c>
      <c r="J468" s="33">
        <f>IF(A468="","",Settings!$C$5+SUM($I$5:I468))</f>
        <v/>
      </c>
    </row>
    <row r="469">
      <c r="A469" s="28" t="n"/>
      <c r="B469" s="29" t="n"/>
      <c r="C469" s="29" t="n"/>
      <c r="D469" s="30">
        <f>IF(C469="","",IFERROR(INDEX(Settings!$C$21:$C$34,MATCH(C469,Settings!$B$21:$B$34,0)),"Check category"))</f>
        <v/>
      </c>
      <c r="E469" s="31" t="n"/>
      <c r="F469" s="29" t="n"/>
      <c r="G469" s="29" t="n"/>
      <c r="H469" s="30">
        <f>IF(A469="","",IFERROR(LOOKUP(A469,Settings!$C$14:$C$17,Settings!$B$14:$B$17),"Pre-MS1"))</f>
        <v/>
      </c>
      <c r="I469" s="32">
        <f>IF(OR(A469="",E469=""),0,IF(D469="Expense",-E469,E469))</f>
        <v/>
      </c>
      <c r="J469" s="33">
        <f>IF(A469="","",Settings!$C$5+SUM($I$5:I469))</f>
        <v/>
      </c>
    </row>
    <row r="470">
      <c r="A470" s="28" t="n"/>
      <c r="B470" s="29" t="n"/>
      <c r="C470" s="29" t="n"/>
      <c r="D470" s="30">
        <f>IF(C470="","",IFERROR(INDEX(Settings!$C$21:$C$34,MATCH(C470,Settings!$B$21:$B$34,0)),"Check category"))</f>
        <v/>
      </c>
      <c r="E470" s="31" t="n"/>
      <c r="F470" s="29" t="n"/>
      <c r="G470" s="29" t="n"/>
      <c r="H470" s="30">
        <f>IF(A470="","",IFERROR(LOOKUP(A470,Settings!$C$14:$C$17,Settings!$B$14:$B$17),"Pre-MS1"))</f>
        <v/>
      </c>
      <c r="I470" s="32">
        <f>IF(OR(A470="",E470=""),0,IF(D470="Expense",-E470,E470))</f>
        <v/>
      </c>
      <c r="J470" s="33">
        <f>IF(A470="","",Settings!$C$5+SUM($I$5:I470))</f>
        <v/>
      </c>
    </row>
    <row r="471">
      <c r="A471" s="28" t="n"/>
      <c r="B471" s="29" t="n"/>
      <c r="C471" s="29" t="n"/>
      <c r="D471" s="30">
        <f>IF(C471="","",IFERROR(INDEX(Settings!$C$21:$C$34,MATCH(C471,Settings!$B$21:$B$34,0)),"Check category"))</f>
        <v/>
      </c>
      <c r="E471" s="31" t="n"/>
      <c r="F471" s="29" t="n"/>
      <c r="G471" s="29" t="n"/>
      <c r="H471" s="30">
        <f>IF(A471="","",IFERROR(LOOKUP(A471,Settings!$C$14:$C$17,Settings!$B$14:$B$17),"Pre-MS1"))</f>
        <v/>
      </c>
      <c r="I471" s="32">
        <f>IF(OR(A471="",E471=""),0,IF(D471="Expense",-E471,E471))</f>
        <v/>
      </c>
      <c r="J471" s="33">
        <f>IF(A471="","",Settings!$C$5+SUM($I$5:I471))</f>
        <v/>
      </c>
    </row>
    <row r="472">
      <c r="A472" s="28" t="n"/>
      <c r="B472" s="29" t="n"/>
      <c r="C472" s="29" t="n"/>
      <c r="D472" s="30">
        <f>IF(C472="","",IFERROR(INDEX(Settings!$C$21:$C$34,MATCH(C472,Settings!$B$21:$B$34,0)),"Check category"))</f>
        <v/>
      </c>
      <c r="E472" s="31" t="n"/>
      <c r="F472" s="29" t="n"/>
      <c r="G472" s="29" t="n"/>
      <c r="H472" s="30">
        <f>IF(A472="","",IFERROR(LOOKUP(A472,Settings!$C$14:$C$17,Settings!$B$14:$B$17),"Pre-MS1"))</f>
        <v/>
      </c>
      <c r="I472" s="32">
        <f>IF(OR(A472="",E472=""),0,IF(D472="Expense",-E472,E472))</f>
        <v/>
      </c>
      <c r="J472" s="33">
        <f>IF(A472="","",Settings!$C$5+SUM($I$5:I472))</f>
        <v/>
      </c>
    </row>
    <row r="473">
      <c r="A473" s="28" t="n"/>
      <c r="B473" s="29" t="n"/>
      <c r="C473" s="29" t="n"/>
      <c r="D473" s="30">
        <f>IF(C473="","",IFERROR(INDEX(Settings!$C$21:$C$34,MATCH(C473,Settings!$B$21:$B$34,0)),"Check category"))</f>
        <v/>
      </c>
      <c r="E473" s="31" t="n"/>
      <c r="F473" s="29" t="n"/>
      <c r="G473" s="29" t="n"/>
      <c r="H473" s="30">
        <f>IF(A473="","",IFERROR(LOOKUP(A473,Settings!$C$14:$C$17,Settings!$B$14:$B$17),"Pre-MS1"))</f>
        <v/>
      </c>
      <c r="I473" s="32">
        <f>IF(OR(A473="",E473=""),0,IF(D473="Expense",-E473,E473))</f>
        <v/>
      </c>
      <c r="J473" s="33">
        <f>IF(A473="","",Settings!$C$5+SUM($I$5:I473))</f>
        <v/>
      </c>
    </row>
    <row r="474">
      <c r="A474" s="28" t="n"/>
      <c r="B474" s="29" t="n"/>
      <c r="C474" s="29" t="n"/>
      <c r="D474" s="30">
        <f>IF(C474="","",IFERROR(INDEX(Settings!$C$21:$C$34,MATCH(C474,Settings!$B$21:$B$34,0)),"Check category"))</f>
        <v/>
      </c>
      <c r="E474" s="31" t="n"/>
      <c r="F474" s="29" t="n"/>
      <c r="G474" s="29" t="n"/>
      <c r="H474" s="30">
        <f>IF(A474="","",IFERROR(LOOKUP(A474,Settings!$C$14:$C$17,Settings!$B$14:$B$17),"Pre-MS1"))</f>
        <v/>
      </c>
      <c r="I474" s="32">
        <f>IF(OR(A474="",E474=""),0,IF(D474="Expense",-E474,E474))</f>
        <v/>
      </c>
      <c r="J474" s="33">
        <f>IF(A474="","",Settings!$C$5+SUM($I$5:I474))</f>
        <v/>
      </c>
    </row>
    <row r="475">
      <c r="A475" s="28" t="n"/>
      <c r="B475" s="29" t="n"/>
      <c r="C475" s="29" t="n"/>
      <c r="D475" s="30">
        <f>IF(C475="","",IFERROR(INDEX(Settings!$C$21:$C$34,MATCH(C475,Settings!$B$21:$B$34,0)),"Check category"))</f>
        <v/>
      </c>
      <c r="E475" s="31" t="n"/>
      <c r="F475" s="29" t="n"/>
      <c r="G475" s="29" t="n"/>
      <c r="H475" s="30">
        <f>IF(A475="","",IFERROR(LOOKUP(A475,Settings!$C$14:$C$17,Settings!$B$14:$B$17),"Pre-MS1"))</f>
        <v/>
      </c>
      <c r="I475" s="32">
        <f>IF(OR(A475="",E475=""),0,IF(D475="Expense",-E475,E475))</f>
        <v/>
      </c>
      <c r="J475" s="33">
        <f>IF(A475="","",Settings!$C$5+SUM($I$5:I475))</f>
        <v/>
      </c>
    </row>
    <row r="476">
      <c r="A476" s="28" t="n"/>
      <c r="B476" s="29" t="n"/>
      <c r="C476" s="29" t="n"/>
      <c r="D476" s="30">
        <f>IF(C476="","",IFERROR(INDEX(Settings!$C$21:$C$34,MATCH(C476,Settings!$B$21:$B$34,0)),"Check category"))</f>
        <v/>
      </c>
      <c r="E476" s="31" t="n"/>
      <c r="F476" s="29" t="n"/>
      <c r="G476" s="29" t="n"/>
      <c r="H476" s="30">
        <f>IF(A476="","",IFERROR(LOOKUP(A476,Settings!$C$14:$C$17,Settings!$B$14:$B$17),"Pre-MS1"))</f>
        <v/>
      </c>
      <c r="I476" s="32">
        <f>IF(OR(A476="",E476=""),0,IF(D476="Expense",-E476,E476))</f>
        <v/>
      </c>
      <c r="J476" s="33">
        <f>IF(A476="","",Settings!$C$5+SUM($I$5:I476))</f>
        <v/>
      </c>
    </row>
    <row r="477">
      <c r="A477" s="28" t="n"/>
      <c r="B477" s="29" t="n"/>
      <c r="C477" s="29" t="n"/>
      <c r="D477" s="30">
        <f>IF(C477="","",IFERROR(INDEX(Settings!$C$21:$C$34,MATCH(C477,Settings!$B$21:$B$34,0)),"Check category"))</f>
        <v/>
      </c>
      <c r="E477" s="31" t="n"/>
      <c r="F477" s="29" t="n"/>
      <c r="G477" s="29" t="n"/>
      <c r="H477" s="30">
        <f>IF(A477="","",IFERROR(LOOKUP(A477,Settings!$C$14:$C$17,Settings!$B$14:$B$17),"Pre-MS1"))</f>
        <v/>
      </c>
      <c r="I477" s="32">
        <f>IF(OR(A477="",E477=""),0,IF(D477="Expense",-E477,E477))</f>
        <v/>
      </c>
      <c r="J477" s="33">
        <f>IF(A477="","",Settings!$C$5+SUM($I$5:I477))</f>
        <v/>
      </c>
    </row>
    <row r="478">
      <c r="A478" s="28" t="n"/>
      <c r="B478" s="29" t="n"/>
      <c r="C478" s="29" t="n"/>
      <c r="D478" s="30">
        <f>IF(C478="","",IFERROR(INDEX(Settings!$C$21:$C$34,MATCH(C478,Settings!$B$21:$B$34,0)),"Check category"))</f>
        <v/>
      </c>
      <c r="E478" s="31" t="n"/>
      <c r="F478" s="29" t="n"/>
      <c r="G478" s="29" t="n"/>
      <c r="H478" s="30">
        <f>IF(A478="","",IFERROR(LOOKUP(A478,Settings!$C$14:$C$17,Settings!$B$14:$B$17),"Pre-MS1"))</f>
        <v/>
      </c>
      <c r="I478" s="32">
        <f>IF(OR(A478="",E478=""),0,IF(D478="Expense",-E478,E478))</f>
        <v/>
      </c>
      <c r="J478" s="33">
        <f>IF(A478="","",Settings!$C$5+SUM($I$5:I478))</f>
        <v/>
      </c>
    </row>
    <row r="479">
      <c r="A479" s="28" t="n"/>
      <c r="B479" s="29" t="n"/>
      <c r="C479" s="29" t="n"/>
      <c r="D479" s="30">
        <f>IF(C479="","",IFERROR(INDEX(Settings!$C$21:$C$34,MATCH(C479,Settings!$B$21:$B$34,0)),"Check category"))</f>
        <v/>
      </c>
      <c r="E479" s="31" t="n"/>
      <c r="F479" s="29" t="n"/>
      <c r="G479" s="29" t="n"/>
      <c r="H479" s="30">
        <f>IF(A479="","",IFERROR(LOOKUP(A479,Settings!$C$14:$C$17,Settings!$B$14:$B$17),"Pre-MS1"))</f>
        <v/>
      </c>
      <c r="I479" s="32">
        <f>IF(OR(A479="",E479=""),0,IF(D479="Expense",-E479,E479))</f>
        <v/>
      </c>
      <c r="J479" s="33">
        <f>IF(A479="","",Settings!$C$5+SUM($I$5:I479))</f>
        <v/>
      </c>
    </row>
    <row r="480">
      <c r="A480" s="28" t="n"/>
      <c r="B480" s="29" t="n"/>
      <c r="C480" s="29" t="n"/>
      <c r="D480" s="30">
        <f>IF(C480="","",IFERROR(INDEX(Settings!$C$21:$C$34,MATCH(C480,Settings!$B$21:$B$34,0)),"Check category"))</f>
        <v/>
      </c>
      <c r="E480" s="31" t="n"/>
      <c r="F480" s="29" t="n"/>
      <c r="G480" s="29" t="n"/>
      <c r="H480" s="30">
        <f>IF(A480="","",IFERROR(LOOKUP(A480,Settings!$C$14:$C$17,Settings!$B$14:$B$17),"Pre-MS1"))</f>
        <v/>
      </c>
      <c r="I480" s="32">
        <f>IF(OR(A480="",E480=""),0,IF(D480="Expense",-E480,E480))</f>
        <v/>
      </c>
      <c r="J480" s="33">
        <f>IF(A480="","",Settings!$C$5+SUM($I$5:I480))</f>
        <v/>
      </c>
    </row>
    <row r="481">
      <c r="A481" s="28" t="n"/>
      <c r="B481" s="29" t="n"/>
      <c r="C481" s="29" t="n"/>
      <c r="D481" s="30">
        <f>IF(C481="","",IFERROR(INDEX(Settings!$C$21:$C$34,MATCH(C481,Settings!$B$21:$B$34,0)),"Check category"))</f>
        <v/>
      </c>
      <c r="E481" s="31" t="n"/>
      <c r="F481" s="29" t="n"/>
      <c r="G481" s="29" t="n"/>
      <c r="H481" s="30">
        <f>IF(A481="","",IFERROR(LOOKUP(A481,Settings!$C$14:$C$17,Settings!$B$14:$B$17),"Pre-MS1"))</f>
        <v/>
      </c>
      <c r="I481" s="32">
        <f>IF(OR(A481="",E481=""),0,IF(D481="Expense",-E481,E481))</f>
        <v/>
      </c>
      <c r="J481" s="33">
        <f>IF(A481="","",Settings!$C$5+SUM($I$5:I481))</f>
        <v/>
      </c>
    </row>
    <row r="482">
      <c r="A482" s="28" t="n"/>
      <c r="B482" s="29" t="n"/>
      <c r="C482" s="29" t="n"/>
      <c r="D482" s="30">
        <f>IF(C482="","",IFERROR(INDEX(Settings!$C$21:$C$34,MATCH(C482,Settings!$B$21:$B$34,0)),"Check category"))</f>
        <v/>
      </c>
      <c r="E482" s="31" t="n"/>
      <c r="F482" s="29" t="n"/>
      <c r="G482" s="29" t="n"/>
      <c r="H482" s="30">
        <f>IF(A482="","",IFERROR(LOOKUP(A482,Settings!$C$14:$C$17,Settings!$B$14:$B$17),"Pre-MS1"))</f>
        <v/>
      </c>
      <c r="I482" s="32">
        <f>IF(OR(A482="",E482=""),0,IF(D482="Expense",-E482,E482))</f>
        <v/>
      </c>
      <c r="J482" s="33">
        <f>IF(A482="","",Settings!$C$5+SUM($I$5:I482))</f>
        <v/>
      </c>
    </row>
    <row r="483">
      <c r="A483" s="28" t="n"/>
      <c r="B483" s="29" t="n"/>
      <c r="C483" s="29" t="n"/>
      <c r="D483" s="30">
        <f>IF(C483="","",IFERROR(INDEX(Settings!$C$21:$C$34,MATCH(C483,Settings!$B$21:$B$34,0)),"Check category"))</f>
        <v/>
      </c>
      <c r="E483" s="31" t="n"/>
      <c r="F483" s="29" t="n"/>
      <c r="G483" s="29" t="n"/>
      <c r="H483" s="30">
        <f>IF(A483="","",IFERROR(LOOKUP(A483,Settings!$C$14:$C$17,Settings!$B$14:$B$17),"Pre-MS1"))</f>
        <v/>
      </c>
      <c r="I483" s="32">
        <f>IF(OR(A483="",E483=""),0,IF(D483="Expense",-E483,E483))</f>
        <v/>
      </c>
      <c r="J483" s="33">
        <f>IF(A483="","",Settings!$C$5+SUM($I$5:I483))</f>
        <v/>
      </c>
    </row>
    <row r="484">
      <c r="A484" s="28" t="n"/>
      <c r="B484" s="29" t="n"/>
      <c r="C484" s="29" t="n"/>
      <c r="D484" s="30">
        <f>IF(C484="","",IFERROR(INDEX(Settings!$C$21:$C$34,MATCH(C484,Settings!$B$21:$B$34,0)),"Check category"))</f>
        <v/>
      </c>
      <c r="E484" s="31" t="n"/>
      <c r="F484" s="29" t="n"/>
      <c r="G484" s="29" t="n"/>
      <c r="H484" s="30">
        <f>IF(A484="","",IFERROR(LOOKUP(A484,Settings!$C$14:$C$17,Settings!$B$14:$B$17),"Pre-MS1"))</f>
        <v/>
      </c>
      <c r="I484" s="32">
        <f>IF(OR(A484="",E484=""),0,IF(D484="Expense",-E484,E484))</f>
        <v/>
      </c>
      <c r="J484" s="33">
        <f>IF(A484="","",Settings!$C$5+SUM($I$5:I484))</f>
        <v/>
      </c>
    </row>
    <row r="485">
      <c r="A485" s="28" t="n"/>
      <c r="B485" s="29" t="n"/>
      <c r="C485" s="29" t="n"/>
      <c r="D485" s="30">
        <f>IF(C485="","",IFERROR(INDEX(Settings!$C$21:$C$34,MATCH(C485,Settings!$B$21:$B$34,0)),"Check category"))</f>
        <v/>
      </c>
      <c r="E485" s="31" t="n"/>
      <c r="F485" s="29" t="n"/>
      <c r="G485" s="29" t="n"/>
      <c r="H485" s="30">
        <f>IF(A485="","",IFERROR(LOOKUP(A485,Settings!$C$14:$C$17,Settings!$B$14:$B$17),"Pre-MS1"))</f>
        <v/>
      </c>
      <c r="I485" s="32">
        <f>IF(OR(A485="",E485=""),0,IF(D485="Expense",-E485,E485))</f>
        <v/>
      </c>
      <c r="J485" s="33">
        <f>IF(A485="","",Settings!$C$5+SUM($I$5:I485))</f>
        <v/>
      </c>
    </row>
    <row r="486">
      <c r="A486" s="28" t="n"/>
      <c r="B486" s="29" t="n"/>
      <c r="C486" s="29" t="n"/>
      <c r="D486" s="30">
        <f>IF(C486="","",IFERROR(INDEX(Settings!$C$21:$C$34,MATCH(C486,Settings!$B$21:$B$34,0)),"Check category"))</f>
        <v/>
      </c>
      <c r="E486" s="31" t="n"/>
      <c r="F486" s="29" t="n"/>
      <c r="G486" s="29" t="n"/>
      <c r="H486" s="30">
        <f>IF(A486="","",IFERROR(LOOKUP(A486,Settings!$C$14:$C$17,Settings!$B$14:$B$17),"Pre-MS1"))</f>
        <v/>
      </c>
      <c r="I486" s="32">
        <f>IF(OR(A486="",E486=""),0,IF(D486="Expense",-E486,E486))</f>
        <v/>
      </c>
      <c r="J486" s="33">
        <f>IF(A486="","",Settings!$C$5+SUM($I$5:I486))</f>
        <v/>
      </c>
    </row>
    <row r="487">
      <c r="A487" s="28" t="n"/>
      <c r="B487" s="29" t="n"/>
      <c r="C487" s="29" t="n"/>
      <c r="D487" s="30">
        <f>IF(C487="","",IFERROR(INDEX(Settings!$C$21:$C$34,MATCH(C487,Settings!$B$21:$B$34,0)),"Check category"))</f>
        <v/>
      </c>
      <c r="E487" s="31" t="n"/>
      <c r="F487" s="29" t="n"/>
      <c r="G487" s="29" t="n"/>
      <c r="H487" s="30">
        <f>IF(A487="","",IFERROR(LOOKUP(A487,Settings!$C$14:$C$17,Settings!$B$14:$B$17),"Pre-MS1"))</f>
        <v/>
      </c>
      <c r="I487" s="32">
        <f>IF(OR(A487="",E487=""),0,IF(D487="Expense",-E487,E487))</f>
        <v/>
      </c>
      <c r="J487" s="33">
        <f>IF(A487="","",Settings!$C$5+SUM($I$5:I487))</f>
        <v/>
      </c>
    </row>
    <row r="488">
      <c r="A488" s="28" t="n"/>
      <c r="B488" s="29" t="n"/>
      <c r="C488" s="29" t="n"/>
      <c r="D488" s="30">
        <f>IF(C488="","",IFERROR(INDEX(Settings!$C$21:$C$34,MATCH(C488,Settings!$B$21:$B$34,0)),"Check category"))</f>
        <v/>
      </c>
      <c r="E488" s="31" t="n"/>
      <c r="F488" s="29" t="n"/>
      <c r="G488" s="29" t="n"/>
      <c r="H488" s="30">
        <f>IF(A488="","",IFERROR(LOOKUP(A488,Settings!$C$14:$C$17,Settings!$B$14:$B$17),"Pre-MS1"))</f>
        <v/>
      </c>
      <c r="I488" s="32">
        <f>IF(OR(A488="",E488=""),0,IF(D488="Expense",-E488,E488))</f>
        <v/>
      </c>
      <c r="J488" s="33">
        <f>IF(A488="","",Settings!$C$5+SUM($I$5:I488))</f>
        <v/>
      </c>
    </row>
    <row r="489">
      <c r="A489" s="28" t="n"/>
      <c r="B489" s="29" t="n"/>
      <c r="C489" s="29" t="n"/>
      <c r="D489" s="30">
        <f>IF(C489="","",IFERROR(INDEX(Settings!$C$21:$C$34,MATCH(C489,Settings!$B$21:$B$34,0)),"Check category"))</f>
        <v/>
      </c>
      <c r="E489" s="31" t="n"/>
      <c r="F489" s="29" t="n"/>
      <c r="G489" s="29" t="n"/>
      <c r="H489" s="30">
        <f>IF(A489="","",IFERROR(LOOKUP(A489,Settings!$C$14:$C$17,Settings!$B$14:$B$17),"Pre-MS1"))</f>
        <v/>
      </c>
      <c r="I489" s="32">
        <f>IF(OR(A489="",E489=""),0,IF(D489="Expense",-E489,E489))</f>
        <v/>
      </c>
      <c r="J489" s="33">
        <f>IF(A489="","",Settings!$C$5+SUM($I$5:I489))</f>
        <v/>
      </c>
    </row>
    <row r="490">
      <c r="A490" s="28" t="n"/>
      <c r="B490" s="29" t="n"/>
      <c r="C490" s="29" t="n"/>
      <c r="D490" s="30">
        <f>IF(C490="","",IFERROR(INDEX(Settings!$C$21:$C$34,MATCH(C490,Settings!$B$21:$B$34,0)),"Check category"))</f>
        <v/>
      </c>
      <c r="E490" s="31" t="n"/>
      <c r="F490" s="29" t="n"/>
      <c r="G490" s="29" t="n"/>
      <c r="H490" s="30">
        <f>IF(A490="","",IFERROR(LOOKUP(A490,Settings!$C$14:$C$17,Settings!$B$14:$B$17),"Pre-MS1"))</f>
        <v/>
      </c>
      <c r="I490" s="32">
        <f>IF(OR(A490="",E490=""),0,IF(D490="Expense",-E490,E490))</f>
        <v/>
      </c>
      <c r="J490" s="33">
        <f>IF(A490="","",Settings!$C$5+SUM($I$5:I490))</f>
        <v/>
      </c>
    </row>
    <row r="491">
      <c r="A491" s="28" t="n"/>
      <c r="B491" s="29" t="n"/>
      <c r="C491" s="29" t="n"/>
      <c r="D491" s="30">
        <f>IF(C491="","",IFERROR(INDEX(Settings!$C$21:$C$34,MATCH(C491,Settings!$B$21:$B$34,0)),"Check category"))</f>
        <v/>
      </c>
      <c r="E491" s="31" t="n"/>
      <c r="F491" s="29" t="n"/>
      <c r="G491" s="29" t="n"/>
      <c r="H491" s="30">
        <f>IF(A491="","",IFERROR(LOOKUP(A491,Settings!$C$14:$C$17,Settings!$B$14:$B$17),"Pre-MS1"))</f>
        <v/>
      </c>
      <c r="I491" s="32">
        <f>IF(OR(A491="",E491=""),0,IF(D491="Expense",-E491,E491))</f>
        <v/>
      </c>
      <c r="J491" s="33">
        <f>IF(A491="","",Settings!$C$5+SUM($I$5:I491))</f>
        <v/>
      </c>
    </row>
    <row r="492">
      <c r="A492" s="28" t="n"/>
      <c r="B492" s="29" t="n"/>
      <c r="C492" s="29" t="n"/>
      <c r="D492" s="30">
        <f>IF(C492="","",IFERROR(INDEX(Settings!$C$21:$C$34,MATCH(C492,Settings!$B$21:$B$34,0)),"Check category"))</f>
        <v/>
      </c>
      <c r="E492" s="31" t="n"/>
      <c r="F492" s="29" t="n"/>
      <c r="G492" s="29" t="n"/>
      <c r="H492" s="30">
        <f>IF(A492="","",IFERROR(LOOKUP(A492,Settings!$C$14:$C$17,Settings!$B$14:$B$17),"Pre-MS1"))</f>
        <v/>
      </c>
      <c r="I492" s="32">
        <f>IF(OR(A492="",E492=""),0,IF(D492="Expense",-E492,E492))</f>
        <v/>
      </c>
      <c r="J492" s="33">
        <f>IF(A492="","",Settings!$C$5+SUM($I$5:I492))</f>
        <v/>
      </c>
    </row>
    <row r="493">
      <c r="A493" s="28" t="n"/>
      <c r="B493" s="29" t="n"/>
      <c r="C493" s="29" t="n"/>
      <c r="D493" s="30">
        <f>IF(C493="","",IFERROR(INDEX(Settings!$C$21:$C$34,MATCH(C493,Settings!$B$21:$B$34,0)),"Check category"))</f>
        <v/>
      </c>
      <c r="E493" s="31" t="n"/>
      <c r="F493" s="29" t="n"/>
      <c r="G493" s="29" t="n"/>
      <c r="H493" s="30">
        <f>IF(A493="","",IFERROR(LOOKUP(A493,Settings!$C$14:$C$17,Settings!$B$14:$B$17),"Pre-MS1"))</f>
        <v/>
      </c>
      <c r="I493" s="32">
        <f>IF(OR(A493="",E493=""),0,IF(D493="Expense",-E493,E493))</f>
        <v/>
      </c>
      <c r="J493" s="33">
        <f>IF(A493="","",Settings!$C$5+SUM($I$5:I493))</f>
        <v/>
      </c>
    </row>
    <row r="494">
      <c r="A494" s="28" t="n"/>
      <c r="B494" s="29" t="n"/>
      <c r="C494" s="29" t="n"/>
      <c r="D494" s="30">
        <f>IF(C494="","",IFERROR(INDEX(Settings!$C$21:$C$34,MATCH(C494,Settings!$B$21:$B$34,0)),"Check category"))</f>
        <v/>
      </c>
      <c r="E494" s="31" t="n"/>
      <c r="F494" s="29" t="n"/>
      <c r="G494" s="29" t="n"/>
      <c r="H494" s="30">
        <f>IF(A494="","",IFERROR(LOOKUP(A494,Settings!$C$14:$C$17,Settings!$B$14:$B$17),"Pre-MS1"))</f>
        <v/>
      </c>
      <c r="I494" s="32">
        <f>IF(OR(A494="",E494=""),0,IF(D494="Expense",-E494,E494))</f>
        <v/>
      </c>
      <c r="J494" s="33">
        <f>IF(A494="","",Settings!$C$5+SUM($I$5:I494))</f>
        <v/>
      </c>
    </row>
    <row r="495">
      <c r="A495" s="28" t="n"/>
      <c r="B495" s="29" t="n"/>
      <c r="C495" s="29" t="n"/>
      <c r="D495" s="30">
        <f>IF(C495="","",IFERROR(INDEX(Settings!$C$21:$C$34,MATCH(C495,Settings!$B$21:$B$34,0)),"Check category"))</f>
        <v/>
      </c>
      <c r="E495" s="31" t="n"/>
      <c r="F495" s="29" t="n"/>
      <c r="G495" s="29" t="n"/>
      <c r="H495" s="30">
        <f>IF(A495="","",IFERROR(LOOKUP(A495,Settings!$C$14:$C$17,Settings!$B$14:$B$17),"Pre-MS1"))</f>
        <v/>
      </c>
      <c r="I495" s="32">
        <f>IF(OR(A495="",E495=""),0,IF(D495="Expense",-E495,E495))</f>
        <v/>
      </c>
      <c r="J495" s="33">
        <f>IF(A495="","",Settings!$C$5+SUM($I$5:I495))</f>
        <v/>
      </c>
    </row>
    <row r="496">
      <c r="A496" s="28" t="n"/>
      <c r="B496" s="29" t="n"/>
      <c r="C496" s="29" t="n"/>
      <c r="D496" s="30">
        <f>IF(C496="","",IFERROR(INDEX(Settings!$C$21:$C$34,MATCH(C496,Settings!$B$21:$B$34,0)),"Check category"))</f>
        <v/>
      </c>
      <c r="E496" s="31" t="n"/>
      <c r="F496" s="29" t="n"/>
      <c r="G496" s="29" t="n"/>
      <c r="H496" s="30">
        <f>IF(A496="","",IFERROR(LOOKUP(A496,Settings!$C$14:$C$17,Settings!$B$14:$B$17),"Pre-MS1"))</f>
        <v/>
      </c>
      <c r="I496" s="32">
        <f>IF(OR(A496="",E496=""),0,IF(D496="Expense",-E496,E496))</f>
        <v/>
      </c>
      <c r="J496" s="33">
        <f>IF(A496="","",Settings!$C$5+SUM($I$5:I496))</f>
        <v/>
      </c>
    </row>
    <row r="497">
      <c r="A497" s="28" t="n"/>
      <c r="B497" s="29" t="n"/>
      <c r="C497" s="29" t="n"/>
      <c r="D497" s="30">
        <f>IF(C497="","",IFERROR(INDEX(Settings!$C$21:$C$34,MATCH(C497,Settings!$B$21:$B$34,0)),"Check category"))</f>
        <v/>
      </c>
      <c r="E497" s="31" t="n"/>
      <c r="F497" s="29" t="n"/>
      <c r="G497" s="29" t="n"/>
      <c r="H497" s="30">
        <f>IF(A497="","",IFERROR(LOOKUP(A497,Settings!$C$14:$C$17,Settings!$B$14:$B$17),"Pre-MS1"))</f>
        <v/>
      </c>
      <c r="I497" s="32">
        <f>IF(OR(A497="",E497=""),0,IF(D497="Expense",-E497,E497))</f>
        <v/>
      </c>
      <c r="J497" s="33">
        <f>IF(A497="","",Settings!$C$5+SUM($I$5:I497))</f>
        <v/>
      </c>
    </row>
    <row r="498">
      <c r="A498" s="28" t="n"/>
      <c r="B498" s="29" t="n"/>
      <c r="C498" s="29" t="n"/>
      <c r="D498" s="30">
        <f>IF(C498="","",IFERROR(INDEX(Settings!$C$21:$C$34,MATCH(C498,Settings!$B$21:$B$34,0)),"Check category"))</f>
        <v/>
      </c>
      <c r="E498" s="31" t="n"/>
      <c r="F498" s="29" t="n"/>
      <c r="G498" s="29" t="n"/>
      <c r="H498" s="30">
        <f>IF(A498="","",IFERROR(LOOKUP(A498,Settings!$C$14:$C$17,Settings!$B$14:$B$17),"Pre-MS1"))</f>
        <v/>
      </c>
      <c r="I498" s="32">
        <f>IF(OR(A498="",E498=""),0,IF(D498="Expense",-E498,E498))</f>
        <v/>
      </c>
      <c r="J498" s="33">
        <f>IF(A498="","",Settings!$C$5+SUM($I$5:I498))</f>
        <v/>
      </c>
    </row>
    <row r="499">
      <c r="A499" s="28" t="n"/>
      <c r="B499" s="29" t="n"/>
      <c r="C499" s="29" t="n"/>
      <c r="D499" s="30">
        <f>IF(C499="","",IFERROR(INDEX(Settings!$C$21:$C$34,MATCH(C499,Settings!$B$21:$B$34,0)),"Check category"))</f>
        <v/>
      </c>
      <c r="E499" s="31" t="n"/>
      <c r="F499" s="29" t="n"/>
      <c r="G499" s="29" t="n"/>
      <c r="H499" s="30">
        <f>IF(A499="","",IFERROR(LOOKUP(A499,Settings!$C$14:$C$17,Settings!$B$14:$B$17),"Pre-MS1"))</f>
        <v/>
      </c>
      <c r="I499" s="32">
        <f>IF(OR(A499="",E499=""),0,IF(D499="Expense",-E499,E499))</f>
        <v/>
      </c>
      <c r="J499" s="33">
        <f>IF(A499="","",Settings!$C$5+SUM($I$5:I499))</f>
        <v/>
      </c>
    </row>
    <row r="500">
      <c r="A500" s="28" t="n"/>
      <c r="B500" s="29" t="n"/>
      <c r="C500" s="29" t="n"/>
      <c r="D500" s="30">
        <f>IF(C500="","",IFERROR(INDEX(Settings!$C$21:$C$34,MATCH(C500,Settings!$B$21:$B$34,0)),"Check category"))</f>
        <v/>
      </c>
      <c r="E500" s="31" t="n"/>
      <c r="F500" s="29" t="n"/>
      <c r="G500" s="29" t="n"/>
      <c r="H500" s="30">
        <f>IF(A500="","",IFERROR(LOOKUP(A500,Settings!$C$14:$C$17,Settings!$B$14:$B$17),"Pre-MS1"))</f>
        <v/>
      </c>
      <c r="I500" s="32">
        <f>IF(OR(A500="",E500=""),0,IF(D500="Expense",-E500,E500))</f>
        <v/>
      </c>
      <c r="J500" s="33">
        <f>IF(A500="","",Settings!$C$5+SUM($I$5:I500))</f>
        <v/>
      </c>
    </row>
    <row r="501">
      <c r="A501" s="28" t="n"/>
      <c r="B501" s="29" t="n"/>
      <c r="C501" s="29" t="n"/>
      <c r="D501" s="30">
        <f>IF(C501="","",IFERROR(INDEX(Settings!$C$21:$C$34,MATCH(C501,Settings!$B$21:$B$34,0)),"Check category"))</f>
        <v/>
      </c>
      <c r="E501" s="31" t="n"/>
      <c r="F501" s="29" t="n"/>
      <c r="G501" s="29" t="n"/>
      <c r="H501" s="30">
        <f>IF(A501="","",IFERROR(LOOKUP(A501,Settings!$C$14:$C$17,Settings!$B$14:$B$17),"Pre-MS1"))</f>
        <v/>
      </c>
      <c r="I501" s="32">
        <f>IF(OR(A501="",E501=""),0,IF(D501="Expense",-E501,E501))</f>
        <v/>
      </c>
      <c r="J501" s="33">
        <f>IF(A501="","",Settings!$C$5+SUM($I$5:I501))</f>
        <v/>
      </c>
    </row>
    <row r="502">
      <c r="A502" s="28" t="n"/>
      <c r="B502" s="29" t="n"/>
      <c r="C502" s="29" t="n"/>
      <c r="D502" s="30">
        <f>IF(C502="","",IFERROR(INDEX(Settings!$C$21:$C$34,MATCH(C502,Settings!$B$21:$B$34,0)),"Check category"))</f>
        <v/>
      </c>
      <c r="E502" s="31" t="n"/>
      <c r="F502" s="29" t="n"/>
      <c r="G502" s="29" t="n"/>
      <c r="H502" s="30">
        <f>IF(A502="","",IFERROR(LOOKUP(A502,Settings!$C$14:$C$17,Settings!$B$14:$B$17),"Pre-MS1"))</f>
        <v/>
      </c>
      <c r="I502" s="32">
        <f>IF(OR(A502="",E502=""),0,IF(D502="Expense",-E502,E502))</f>
        <v/>
      </c>
      <c r="J502" s="33">
        <f>IF(A502="","",Settings!$C$5+SUM($I$5:I502))</f>
        <v/>
      </c>
    </row>
    <row r="503">
      <c r="A503" s="28" t="n"/>
      <c r="B503" s="29" t="n"/>
      <c r="C503" s="29" t="n"/>
      <c r="D503" s="30">
        <f>IF(C503="","",IFERROR(INDEX(Settings!$C$21:$C$34,MATCH(C503,Settings!$B$21:$B$34,0)),"Check category"))</f>
        <v/>
      </c>
      <c r="E503" s="31" t="n"/>
      <c r="F503" s="29" t="n"/>
      <c r="G503" s="29" t="n"/>
      <c r="H503" s="30">
        <f>IF(A503="","",IFERROR(LOOKUP(A503,Settings!$C$14:$C$17,Settings!$B$14:$B$17),"Pre-MS1"))</f>
        <v/>
      </c>
      <c r="I503" s="32">
        <f>IF(OR(A503="",E503=""),0,IF(D503="Expense",-E503,E503))</f>
        <v/>
      </c>
      <c r="J503" s="33">
        <f>IF(A503="","",Settings!$C$5+SUM($I$5:I503))</f>
        <v/>
      </c>
    </row>
    <row r="504">
      <c r="A504" s="28" t="n"/>
      <c r="B504" s="29" t="n"/>
      <c r="C504" s="29" t="n"/>
      <c r="D504" s="30">
        <f>IF(C504="","",IFERROR(INDEX(Settings!$C$21:$C$34,MATCH(C504,Settings!$B$21:$B$34,0)),"Check category"))</f>
        <v/>
      </c>
      <c r="E504" s="31" t="n"/>
      <c r="F504" s="29" t="n"/>
      <c r="G504" s="29" t="n"/>
      <c r="H504" s="30">
        <f>IF(A504="","",IFERROR(LOOKUP(A504,Settings!$C$14:$C$17,Settings!$B$14:$B$17),"Pre-MS1"))</f>
        <v/>
      </c>
      <c r="I504" s="32">
        <f>IF(OR(A504="",E504=""),0,IF(D504="Expense",-E504,E504))</f>
        <v/>
      </c>
      <c r="J504" s="33">
        <f>IF(A504="","",Settings!$C$5+SUM($I$5:I504))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7B"/>
  <conditionalFormatting sqref="D5:D504">
    <cfRule type="cellIs" priority="1" operator="equal" dxfId="2">
      <formula>"Expense"</formula>
    </cfRule>
    <cfRule type="cellIs" priority="2" operator="equal" dxfId="3">
      <formula>"Income"</formula>
    </cfRule>
  </conditionalFormatting>
  <dataValidations count="3">
    <dataValidation sqref="C5:C504" showDropDown="0" showInputMessage="0" showErrorMessage="1" allowBlank="1" errorTitle="Unknown category" error="Pick a category from the list (edit the list on the Settings tab)." type="list">
      <formula1>=Settings!$B$21:$B$34</formula1>
    </dataValidation>
    <dataValidation sqref="A5:A504" showDropDown="0" showInputMessage="0" showErrorMessage="1" allowBlank="1" error="Enter a valid date, e.g. 10/23/2026." type="date" operator="greaterThan">
      <formula1>36526</formula1>
    </dataValidation>
    <dataValidation sqref="E5:E504" showDropDown="0" showInputMessage="0" showErrorMessage="1" allowBlank="1" error="Enter a positive amount. Type (Income/Expense) sets the sign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25" t="inlineStr">
        <is>
          <t>Fundraiser Scorecard</t>
        </is>
      </c>
    </row>
    <row r="3">
      <c r="B3" s="26" t="inlineStr">
        <is>
          <t>Type each fundraiser's name exactly as used in the Transactions 'Fundraiser / Event tag' column. Revenue and costs pull in automatically.</t>
        </is>
      </c>
    </row>
    <row r="5">
      <c r="B5" s="27" t="inlineStr">
        <is>
          <t>Fundraiser</t>
        </is>
      </c>
      <c r="C5" s="27" t="inlineStr">
        <is>
          <t>Revenue</t>
        </is>
      </c>
      <c r="D5" s="27" t="inlineStr">
        <is>
          <t>Costs</t>
        </is>
      </c>
      <c r="E5" s="27" t="inlineStr">
        <is>
          <t>Net Profit</t>
        </is>
      </c>
      <c r="F5" s="27" t="inlineStr">
        <is>
          <t>Margin</t>
        </is>
      </c>
      <c r="G5" s="27" t="inlineStr">
        <is>
          <t>Rank</t>
        </is>
      </c>
    </row>
    <row r="6">
      <c r="B6" s="29" t="inlineStr">
        <is>
          <t>Hoodie Sale</t>
        </is>
      </c>
      <c r="C6" s="33">
        <f>IF(B6="","",SUMIFS(Transactions!$E$5:$E$504,Transactions!$F$5:$F$504,B6,Transactions!$D$5:$D$504,"Income"))</f>
        <v/>
      </c>
      <c r="D6" s="33">
        <f>IF(B6="","",SUMIFS(Transactions!$E$5:$E$504,Transactions!$F$5:$F$504,B6,Transactions!$D$5:$D$504,"Expense"))</f>
        <v/>
      </c>
      <c r="E6" s="33">
        <f>IF(B6="","",C6-D6)</f>
        <v/>
      </c>
      <c r="F6" s="34">
        <f>IF(OR(B6="",N(C6)=0),"",E6/C6)</f>
        <v/>
      </c>
      <c r="G6" s="30">
        <f>IF(B6="","",COUNTIFS($B$6:$B$25,"&lt;&gt;",$E$6:$E$25,"&gt;"&amp;E6)+1)</f>
        <v/>
      </c>
    </row>
    <row r="7">
      <c r="B7" s="29" t="inlineStr">
        <is>
          <t>Bake Sale</t>
        </is>
      </c>
      <c r="C7" s="33">
        <f>IF(B7="","",SUMIFS(Transactions!$E$5:$E$504,Transactions!$F$5:$F$504,B7,Transactions!$D$5:$D$504,"Income"))</f>
        <v/>
      </c>
      <c r="D7" s="33">
        <f>IF(B7="","",SUMIFS(Transactions!$E$5:$E$504,Transactions!$F$5:$F$504,B7,Transactions!$D$5:$D$504,"Expense"))</f>
        <v/>
      </c>
      <c r="E7" s="33">
        <f>IF(B7="","",C7-D7)</f>
        <v/>
      </c>
      <c r="F7" s="34">
        <f>IF(OR(B7="",N(C7)=0),"",E7/C7)</f>
        <v/>
      </c>
      <c r="G7" s="30">
        <f>IF(B7="","",COUNTIFS($B$6:$B$25,"&lt;&gt;",$E$6:$E$25,"&gt;"&amp;E7)+1)</f>
        <v/>
      </c>
    </row>
    <row r="8">
      <c r="B8" s="29" t="inlineStr">
        <is>
          <t>Valentine Grams</t>
        </is>
      </c>
      <c r="C8" s="33">
        <f>IF(B8="","",SUMIFS(Transactions!$E$5:$E$504,Transactions!$F$5:$F$504,B8,Transactions!$D$5:$D$504,"Income"))</f>
        <v/>
      </c>
      <c r="D8" s="33">
        <f>IF(B8="","",SUMIFS(Transactions!$E$5:$E$504,Transactions!$F$5:$F$504,B8,Transactions!$D$5:$D$504,"Expense"))</f>
        <v/>
      </c>
      <c r="E8" s="33">
        <f>IF(B8="","",C8-D8)</f>
        <v/>
      </c>
      <c r="F8" s="34">
        <f>IF(OR(B8="",N(C8)=0),"",E8/C8)</f>
        <v/>
      </c>
      <c r="G8" s="30">
        <f>IF(B8="","",COUNTIFS($B$6:$B$25,"&lt;&gt;",$E$6:$E$25,"&gt;"&amp;E8)+1)</f>
        <v/>
      </c>
    </row>
    <row r="9">
      <c r="B9" s="29" t="inlineStr">
        <is>
          <t>Trivia Night</t>
        </is>
      </c>
      <c r="C9" s="33">
        <f>IF(B9="","",SUMIFS(Transactions!$E$5:$E$504,Transactions!$F$5:$F$504,B9,Transactions!$D$5:$D$504,"Income"))</f>
        <v/>
      </c>
      <c r="D9" s="33">
        <f>IF(B9="","",SUMIFS(Transactions!$E$5:$E$504,Transactions!$F$5:$F$504,B9,Transactions!$D$5:$D$504,"Expense"))</f>
        <v/>
      </c>
      <c r="E9" s="33">
        <f>IF(B9="","",C9-D9)</f>
        <v/>
      </c>
      <c r="F9" s="34">
        <f>IF(OR(B9="",N(C9)=0),"",E9/C9)</f>
        <v/>
      </c>
      <c r="G9" s="30">
        <f>IF(B9="","",COUNTIFS($B$6:$B$25,"&lt;&gt;",$E$6:$E$25,"&gt;"&amp;E9)+1)</f>
        <v/>
      </c>
    </row>
    <row r="10">
      <c r="B10" s="29" t="inlineStr">
        <is>
          <t>T-Shirt Sale</t>
        </is>
      </c>
      <c r="C10" s="33">
        <f>IF(B10="","",SUMIFS(Transactions!$E$5:$E$504,Transactions!$F$5:$F$504,B10,Transactions!$D$5:$D$504,"Income"))</f>
        <v/>
      </c>
      <c r="D10" s="33">
        <f>IF(B10="","",SUMIFS(Transactions!$E$5:$E$504,Transactions!$F$5:$F$504,B10,Transactions!$D$5:$D$504,"Expense"))</f>
        <v/>
      </c>
      <c r="E10" s="33">
        <f>IF(B10="","",C10-D10)</f>
        <v/>
      </c>
      <c r="F10" s="34">
        <f>IF(OR(B10="",N(C10)=0),"",E10/C10)</f>
        <v/>
      </c>
      <c r="G10" s="30">
        <f>IF(B10="","",COUNTIFS($B$6:$B$25,"&lt;&gt;",$E$6:$E$25,"&gt;"&amp;E10)+1)</f>
        <v/>
      </c>
    </row>
    <row r="11">
      <c r="B11" s="29" t="n"/>
      <c r="C11" s="33">
        <f>IF(B11="","",SUMIFS(Transactions!$E$5:$E$504,Transactions!$F$5:$F$504,B11,Transactions!$D$5:$D$504,"Income"))</f>
        <v/>
      </c>
      <c r="D11" s="33">
        <f>IF(B11="","",SUMIFS(Transactions!$E$5:$E$504,Transactions!$F$5:$F$504,B11,Transactions!$D$5:$D$504,"Expense"))</f>
        <v/>
      </c>
      <c r="E11" s="33">
        <f>IF(B11="","",C11-D11)</f>
        <v/>
      </c>
      <c r="F11" s="34">
        <f>IF(OR(B11="",N(C11)=0),"",E11/C11)</f>
        <v/>
      </c>
      <c r="G11" s="30">
        <f>IF(B11="","",COUNTIFS($B$6:$B$25,"&lt;&gt;",$E$6:$E$25,"&gt;"&amp;E11)+1)</f>
        <v/>
      </c>
    </row>
    <row r="12">
      <c r="B12" s="29" t="n"/>
      <c r="C12" s="33">
        <f>IF(B12="","",SUMIFS(Transactions!$E$5:$E$504,Transactions!$F$5:$F$504,B12,Transactions!$D$5:$D$504,"Income"))</f>
        <v/>
      </c>
      <c r="D12" s="33">
        <f>IF(B12="","",SUMIFS(Transactions!$E$5:$E$504,Transactions!$F$5:$F$504,B12,Transactions!$D$5:$D$504,"Expense"))</f>
        <v/>
      </c>
      <c r="E12" s="33">
        <f>IF(B12="","",C12-D12)</f>
        <v/>
      </c>
      <c r="F12" s="34">
        <f>IF(OR(B12="",N(C12)=0),"",E12/C12)</f>
        <v/>
      </c>
      <c r="G12" s="30">
        <f>IF(B12="","",COUNTIFS($B$6:$B$25,"&lt;&gt;",$E$6:$E$25,"&gt;"&amp;E12)+1)</f>
        <v/>
      </c>
    </row>
    <row r="13">
      <c r="B13" s="29" t="n"/>
      <c r="C13" s="33">
        <f>IF(B13="","",SUMIFS(Transactions!$E$5:$E$504,Transactions!$F$5:$F$504,B13,Transactions!$D$5:$D$504,"Income"))</f>
        <v/>
      </c>
      <c r="D13" s="33">
        <f>IF(B13="","",SUMIFS(Transactions!$E$5:$E$504,Transactions!$F$5:$F$504,B13,Transactions!$D$5:$D$504,"Expense"))</f>
        <v/>
      </c>
      <c r="E13" s="33">
        <f>IF(B13="","",C13-D13)</f>
        <v/>
      </c>
      <c r="F13" s="34">
        <f>IF(OR(B13="",N(C13)=0),"",E13/C13)</f>
        <v/>
      </c>
      <c r="G13" s="30">
        <f>IF(B13="","",COUNTIFS($B$6:$B$25,"&lt;&gt;",$E$6:$E$25,"&gt;"&amp;E13)+1)</f>
        <v/>
      </c>
    </row>
    <row r="14">
      <c r="B14" s="29" t="n"/>
      <c r="C14" s="33">
        <f>IF(B14="","",SUMIFS(Transactions!$E$5:$E$504,Transactions!$F$5:$F$504,B14,Transactions!$D$5:$D$504,"Income"))</f>
        <v/>
      </c>
      <c r="D14" s="33">
        <f>IF(B14="","",SUMIFS(Transactions!$E$5:$E$504,Transactions!$F$5:$F$504,B14,Transactions!$D$5:$D$504,"Expense"))</f>
        <v/>
      </c>
      <c r="E14" s="33">
        <f>IF(B14="","",C14-D14)</f>
        <v/>
      </c>
      <c r="F14" s="34">
        <f>IF(OR(B14="",N(C14)=0),"",E14/C14)</f>
        <v/>
      </c>
      <c r="G14" s="30">
        <f>IF(B14="","",COUNTIFS($B$6:$B$25,"&lt;&gt;",$E$6:$E$25,"&gt;"&amp;E14)+1)</f>
        <v/>
      </c>
    </row>
    <row r="15">
      <c r="B15" s="29" t="n"/>
      <c r="C15" s="33">
        <f>IF(B15="","",SUMIFS(Transactions!$E$5:$E$504,Transactions!$F$5:$F$504,B15,Transactions!$D$5:$D$504,"Income"))</f>
        <v/>
      </c>
      <c r="D15" s="33">
        <f>IF(B15="","",SUMIFS(Transactions!$E$5:$E$504,Transactions!$F$5:$F$504,B15,Transactions!$D$5:$D$504,"Expense"))</f>
        <v/>
      </c>
      <c r="E15" s="33">
        <f>IF(B15="","",C15-D15)</f>
        <v/>
      </c>
      <c r="F15" s="34">
        <f>IF(OR(B15="",N(C15)=0),"",E15/C15)</f>
        <v/>
      </c>
      <c r="G15" s="30">
        <f>IF(B15="","",COUNTIFS($B$6:$B$25,"&lt;&gt;",$E$6:$E$25,"&gt;"&amp;E15)+1)</f>
        <v/>
      </c>
    </row>
    <row r="16">
      <c r="B16" s="29" t="n"/>
      <c r="C16" s="33">
        <f>IF(B16="","",SUMIFS(Transactions!$E$5:$E$504,Transactions!$F$5:$F$504,B16,Transactions!$D$5:$D$504,"Income"))</f>
        <v/>
      </c>
      <c r="D16" s="33">
        <f>IF(B16="","",SUMIFS(Transactions!$E$5:$E$504,Transactions!$F$5:$F$504,B16,Transactions!$D$5:$D$504,"Expense"))</f>
        <v/>
      </c>
      <c r="E16" s="33">
        <f>IF(B16="","",C16-D16)</f>
        <v/>
      </c>
      <c r="F16" s="34">
        <f>IF(OR(B16="",N(C16)=0),"",E16/C16)</f>
        <v/>
      </c>
      <c r="G16" s="30">
        <f>IF(B16="","",COUNTIFS($B$6:$B$25,"&lt;&gt;",$E$6:$E$25,"&gt;"&amp;E16)+1)</f>
        <v/>
      </c>
    </row>
    <row r="17">
      <c r="B17" s="29" t="n"/>
      <c r="C17" s="33">
        <f>IF(B17="","",SUMIFS(Transactions!$E$5:$E$504,Transactions!$F$5:$F$504,B17,Transactions!$D$5:$D$504,"Income"))</f>
        <v/>
      </c>
      <c r="D17" s="33">
        <f>IF(B17="","",SUMIFS(Transactions!$E$5:$E$504,Transactions!$F$5:$F$504,B17,Transactions!$D$5:$D$504,"Expense"))</f>
        <v/>
      </c>
      <c r="E17" s="33">
        <f>IF(B17="","",C17-D17)</f>
        <v/>
      </c>
      <c r="F17" s="34">
        <f>IF(OR(B17="",N(C17)=0),"",E17/C17)</f>
        <v/>
      </c>
      <c r="G17" s="30">
        <f>IF(B17="","",COUNTIFS($B$6:$B$25,"&lt;&gt;",$E$6:$E$25,"&gt;"&amp;E17)+1)</f>
        <v/>
      </c>
    </row>
    <row r="18">
      <c r="B18" s="29" t="n"/>
      <c r="C18" s="33">
        <f>IF(B18="","",SUMIFS(Transactions!$E$5:$E$504,Transactions!$F$5:$F$504,B18,Transactions!$D$5:$D$504,"Income"))</f>
        <v/>
      </c>
      <c r="D18" s="33">
        <f>IF(B18="","",SUMIFS(Transactions!$E$5:$E$504,Transactions!$F$5:$F$504,B18,Transactions!$D$5:$D$504,"Expense"))</f>
        <v/>
      </c>
      <c r="E18" s="33">
        <f>IF(B18="","",C18-D18)</f>
        <v/>
      </c>
      <c r="F18" s="34">
        <f>IF(OR(B18="",N(C18)=0),"",E18/C18)</f>
        <v/>
      </c>
      <c r="G18" s="30">
        <f>IF(B18="","",COUNTIFS($B$6:$B$25,"&lt;&gt;",$E$6:$E$25,"&gt;"&amp;E18)+1)</f>
        <v/>
      </c>
    </row>
    <row r="19">
      <c r="B19" s="29" t="n"/>
      <c r="C19" s="33">
        <f>IF(B19="","",SUMIFS(Transactions!$E$5:$E$504,Transactions!$F$5:$F$504,B19,Transactions!$D$5:$D$504,"Income"))</f>
        <v/>
      </c>
      <c r="D19" s="33">
        <f>IF(B19="","",SUMIFS(Transactions!$E$5:$E$504,Transactions!$F$5:$F$504,B19,Transactions!$D$5:$D$504,"Expense"))</f>
        <v/>
      </c>
      <c r="E19" s="33">
        <f>IF(B19="","",C19-D19)</f>
        <v/>
      </c>
      <c r="F19" s="34">
        <f>IF(OR(B19="",N(C19)=0),"",E19/C19)</f>
        <v/>
      </c>
      <c r="G19" s="30">
        <f>IF(B19="","",COUNTIFS($B$6:$B$25,"&lt;&gt;",$E$6:$E$25,"&gt;"&amp;E19)+1)</f>
        <v/>
      </c>
    </row>
    <row r="20">
      <c r="B20" s="29" t="n"/>
      <c r="C20" s="33">
        <f>IF(B20="","",SUMIFS(Transactions!$E$5:$E$504,Transactions!$F$5:$F$504,B20,Transactions!$D$5:$D$504,"Income"))</f>
        <v/>
      </c>
      <c r="D20" s="33">
        <f>IF(B20="","",SUMIFS(Transactions!$E$5:$E$504,Transactions!$F$5:$F$504,B20,Transactions!$D$5:$D$504,"Expense"))</f>
        <v/>
      </c>
      <c r="E20" s="33">
        <f>IF(B20="","",C20-D20)</f>
        <v/>
      </c>
      <c r="F20" s="34">
        <f>IF(OR(B20="",N(C20)=0),"",E20/C20)</f>
        <v/>
      </c>
      <c r="G20" s="30">
        <f>IF(B20="","",COUNTIFS($B$6:$B$25,"&lt;&gt;",$E$6:$E$25,"&gt;"&amp;E20)+1)</f>
        <v/>
      </c>
    </row>
    <row r="21">
      <c r="B21" s="29" t="n"/>
      <c r="C21" s="33">
        <f>IF(B21="","",SUMIFS(Transactions!$E$5:$E$504,Transactions!$F$5:$F$504,B21,Transactions!$D$5:$D$504,"Income"))</f>
        <v/>
      </c>
      <c r="D21" s="33">
        <f>IF(B21="","",SUMIFS(Transactions!$E$5:$E$504,Transactions!$F$5:$F$504,B21,Transactions!$D$5:$D$504,"Expense"))</f>
        <v/>
      </c>
      <c r="E21" s="33">
        <f>IF(B21="","",C21-D21)</f>
        <v/>
      </c>
      <c r="F21" s="34">
        <f>IF(OR(B21="",N(C21)=0),"",E21/C21)</f>
        <v/>
      </c>
      <c r="G21" s="30">
        <f>IF(B21="","",COUNTIFS($B$6:$B$25,"&lt;&gt;",$E$6:$E$25,"&gt;"&amp;E21)+1)</f>
        <v/>
      </c>
    </row>
    <row r="22">
      <c r="B22" s="29" t="n"/>
      <c r="C22" s="33">
        <f>IF(B22="","",SUMIFS(Transactions!$E$5:$E$504,Transactions!$F$5:$F$504,B22,Transactions!$D$5:$D$504,"Income"))</f>
        <v/>
      </c>
      <c r="D22" s="33">
        <f>IF(B22="","",SUMIFS(Transactions!$E$5:$E$504,Transactions!$F$5:$F$504,B22,Transactions!$D$5:$D$504,"Expense"))</f>
        <v/>
      </c>
      <c r="E22" s="33">
        <f>IF(B22="","",C22-D22)</f>
        <v/>
      </c>
      <c r="F22" s="34">
        <f>IF(OR(B22="",N(C22)=0),"",E22/C22)</f>
        <v/>
      </c>
      <c r="G22" s="30">
        <f>IF(B22="","",COUNTIFS($B$6:$B$25,"&lt;&gt;",$E$6:$E$25,"&gt;"&amp;E22)+1)</f>
        <v/>
      </c>
    </row>
    <row r="23">
      <c r="B23" s="29" t="n"/>
      <c r="C23" s="33">
        <f>IF(B23="","",SUMIFS(Transactions!$E$5:$E$504,Transactions!$F$5:$F$504,B23,Transactions!$D$5:$D$504,"Income"))</f>
        <v/>
      </c>
      <c r="D23" s="33">
        <f>IF(B23="","",SUMIFS(Transactions!$E$5:$E$504,Transactions!$F$5:$F$504,B23,Transactions!$D$5:$D$504,"Expense"))</f>
        <v/>
      </c>
      <c r="E23" s="33">
        <f>IF(B23="","",C23-D23)</f>
        <v/>
      </c>
      <c r="F23" s="34">
        <f>IF(OR(B23="",N(C23)=0),"",E23/C23)</f>
        <v/>
      </c>
      <c r="G23" s="30">
        <f>IF(B23="","",COUNTIFS($B$6:$B$25,"&lt;&gt;",$E$6:$E$25,"&gt;"&amp;E23)+1)</f>
        <v/>
      </c>
    </row>
    <row r="24">
      <c r="B24" s="29" t="n"/>
      <c r="C24" s="33">
        <f>IF(B24="","",SUMIFS(Transactions!$E$5:$E$504,Transactions!$F$5:$F$504,B24,Transactions!$D$5:$D$504,"Income"))</f>
        <v/>
      </c>
      <c r="D24" s="33">
        <f>IF(B24="","",SUMIFS(Transactions!$E$5:$E$504,Transactions!$F$5:$F$504,B24,Transactions!$D$5:$D$504,"Expense"))</f>
        <v/>
      </c>
      <c r="E24" s="33">
        <f>IF(B24="","",C24-D24)</f>
        <v/>
      </c>
      <c r="F24" s="34">
        <f>IF(OR(B24="",N(C24)=0),"",E24/C24)</f>
        <v/>
      </c>
      <c r="G24" s="30">
        <f>IF(B24="","",COUNTIFS($B$6:$B$25,"&lt;&gt;",$E$6:$E$25,"&gt;"&amp;E24)+1)</f>
        <v/>
      </c>
    </row>
    <row r="25">
      <c r="B25" s="29" t="n"/>
      <c r="C25" s="33">
        <f>IF(B25="","",SUMIFS(Transactions!$E$5:$E$504,Transactions!$F$5:$F$504,B25,Transactions!$D$5:$D$504,"Income"))</f>
        <v/>
      </c>
      <c r="D25" s="33">
        <f>IF(B25="","",SUMIFS(Transactions!$E$5:$E$504,Transactions!$F$5:$F$504,B25,Transactions!$D$5:$D$504,"Expense"))</f>
        <v/>
      </c>
      <c r="E25" s="33">
        <f>IF(B25="","",C25-D25)</f>
        <v/>
      </c>
      <c r="F25" s="34">
        <f>IF(OR(B25="",N(C25)=0),"",E25/C25)</f>
        <v/>
      </c>
      <c r="G25" s="30">
        <f>IF(B25="","",COUNTIFS($B$6:$B$25,"&lt;&gt;",$E$6:$E$25,"&gt;"&amp;E25)+1)</f>
        <v/>
      </c>
    </row>
    <row r="26">
      <c r="B26" s="35" t="inlineStr">
        <is>
          <t>Total</t>
        </is>
      </c>
      <c r="C26" s="36">
        <f>SUM(C6:C25)</f>
        <v/>
      </c>
      <c r="D26" s="36">
        <f>SUM(D6:D25)</f>
        <v/>
      </c>
      <c r="E26" s="36">
        <f>SUM(E6:E25)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7B"/>
  <conditionalFormatting sqref="G6:G25">
    <cfRule type="cellIs" priority="1" operator="equal" dxfId="4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2">
      <c r="B2" s="25" t="inlineStr">
        <is>
          <t>Spending Budget</t>
        </is>
      </c>
    </row>
    <row r="3">
      <c r="B3" s="26" t="inlineStr">
        <is>
          <t>Pick a class year, then set a budget per category. Actuals pull from Transactions.</t>
        </is>
      </c>
    </row>
    <row r="5">
      <c r="B5" s="35" t="inlineStr">
        <is>
          <t>Class year</t>
        </is>
      </c>
      <c r="C5" s="37" t="inlineStr">
        <is>
          <t>MS2</t>
        </is>
      </c>
    </row>
    <row r="7">
      <c r="B7" s="27" t="inlineStr">
        <is>
          <t>Category</t>
        </is>
      </c>
      <c r="C7" s="27" t="inlineStr">
        <is>
          <t>Budget</t>
        </is>
      </c>
      <c r="D7" s="27" t="inlineStr">
        <is>
          <t>Actual</t>
        </is>
      </c>
      <c r="E7" s="27" t="inlineStr">
        <is>
          <t>Remaining</t>
        </is>
      </c>
      <c r="F7" s="27" t="inlineStr">
        <is>
          <t>% Used</t>
        </is>
      </c>
      <c r="G7" s="27" t="inlineStr">
        <is>
          <t>Status</t>
        </is>
      </c>
    </row>
    <row r="8">
      <c r="B8" s="38">
        <f>Settings!$B$27</f>
        <v/>
      </c>
      <c r="C8" s="31" t="n">
        <v>1500</v>
      </c>
      <c r="D8" s="33">
        <f>SUMIFS(Transactions!$E$5:$E$504,Transactions!$C$5:$C$504,B8,Transactions!$H$5:$H$504,$C$5,Transactions!$D$5:$D$504,"Expense")</f>
        <v/>
      </c>
      <c r="E8" s="33">
        <f>C8-D8</f>
        <v/>
      </c>
      <c r="F8" s="34">
        <f>IF(C8=0,0,D8/C8)</f>
        <v/>
      </c>
      <c r="G8" s="30">
        <f>IF(C8=0,"",IF(F8&gt;1,"Over budget",IF(F8&gt;=0.8,"Watch","OK")))</f>
        <v/>
      </c>
    </row>
    <row r="9">
      <c r="B9" s="38">
        <f>Settings!$B$28</f>
        <v/>
      </c>
      <c r="C9" s="31" t="n">
        <v>2000</v>
      </c>
      <c r="D9" s="33">
        <f>SUMIFS(Transactions!$E$5:$E$504,Transactions!$C$5:$C$504,B9,Transactions!$H$5:$H$504,$C$5,Transactions!$D$5:$D$504,"Expense")</f>
        <v/>
      </c>
      <c r="E9" s="33">
        <f>C9-D9</f>
        <v/>
      </c>
      <c r="F9" s="34">
        <f>IF(C9=0,0,D9/C9)</f>
        <v/>
      </c>
      <c r="G9" s="30">
        <f>IF(C9=0,"",IF(F9&gt;1,"Over budget",IF(F9&gt;=0.8,"Watch","OK")))</f>
        <v/>
      </c>
    </row>
    <row r="10">
      <c r="B10" s="38">
        <f>Settings!$B$29</f>
        <v/>
      </c>
      <c r="C10" s="31" t="n">
        <v>1200</v>
      </c>
      <c r="D10" s="33">
        <f>SUMIFS(Transactions!$E$5:$E$504,Transactions!$C$5:$C$504,B10,Transactions!$H$5:$H$504,$C$5,Transactions!$D$5:$D$504,"Expense")</f>
        <v/>
      </c>
      <c r="E10" s="33">
        <f>C10-D10</f>
        <v/>
      </c>
      <c r="F10" s="34">
        <f>IF(C10=0,0,D10/C10)</f>
        <v/>
      </c>
      <c r="G10" s="30">
        <f>IF(C10=0,"",IF(F10&gt;1,"Over budget",IF(F10&gt;=0.8,"Watch","OK")))</f>
        <v/>
      </c>
    </row>
    <row r="11">
      <c r="B11" s="38">
        <f>Settings!$B$30</f>
        <v/>
      </c>
      <c r="C11" s="31" t="n">
        <v>500</v>
      </c>
      <c r="D11" s="33">
        <f>SUMIFS(Transactions!$E$5:$E$504,Transactions!$C$5:$C$504,B11,Transactions!$H$5:$H$504,$C$5,Transactions!$D$5:$D$504,"Expense")</f>
        <v/>
      </c>
      <c r="E11" s="33">
        <f>C11-D11</f>
        <v/>
      </c>
      <c r="F11" s="34">
        <f>IF(C11=0,0,D11/C11)</f>
        <v/>
      </c>
      <c r="G11" s="30">
        <f>IF(C11=0,"",IF(F11&gt;1,"Over budget",IF(F11&gt;=0.8,"Watch","OK")))</f>
        <v/>
      </c>
    </row>
    <row r="12">
      <c r="B12" s="38">
        <f>Settings!$B$31</f>
        <v/>
      </c>
      <c r="C12" s="31" t="n">
        <v>1500</v>
      </c>
      <c r="D12" s="33">
        <f>SUMIFS(Transactions!$E$5:$E$504,Transactions!$C$5:$C$504,B12,Transactions!$H$5:$H$504,$C$5,Transactions!$D$5:$D$504,"Expense")</f>
        <v/>
      </c>
      <c r="E12" s="33">
        <f>C12-D12</f>
        <v/>
      </c>
      <c r="F12" s="34">
        <f>IF(C12=0,0,D12/C12)</f>
        <v/>
      </c>
      <c r="G12" s="30">
        <f>IF(C12=0,"",IF(F12&gt;1,"Over budget",IF(F12&gt;=0.8,"Watch","OK")))</f>
        <v/>
      </c>
    </row>
    <row r="13">
      <c r="B13" s="38">
        <f>Settings!$B$32</f>
        <v/>
      </c>
      <c r="C13" s="31" t="n">
        <v>200</v>
      </c>
      <c r="D13" s="33">
        <f>SUMIFS(Transactions!$E$5:$E$504,Transactions!$C$5:$C$504,B13,Transactions!$H$5:$H$504,$C$5,Transactions!$D$5:$D$504,"Expense")</f>
        <v/>
      </c>
      <c r="E13" s="33">
        <f>C13-D13</f>
        <v/>
      </c>
      <c r="F13" s="34">
        <f>IF(C13=0,0,D13/C13)</f>
        <v/>
      </c>
      <c r="G13" s="30">
        <f>IF(C13=0,"",IF(F13&gt;1,"Over budget",IF(F13&gt;=0.8,"Watch","OK")))</f>
        <v/>
      </c>
    </row>
    <row r="14">
      <c r="B14" s="38">
        <f>Settings!$B$33</f>
        <v/>
      </c>
      <c r="C14" s="31" t="n">
        <v>400</v>
      </c>
      <c r="D14" s="33">
        <f>SUMIFS(Transactions!$E$5:$E$504,Transactions!$C$5:$C$504,B14,Transactions!$H$5:$H$504,$C$5,Transactions!$D$5:$D$504,"Expense")</f>
        <v/>
      </c>
      <c r="E14" s="33">
        <f>C14-D14</f>
        <v/>
      </c>
      <c r="F14" s="34">
        <f>IF(C14=0,0,D14/C14)</f>
        <v/>
      </c>
      <c r="G14" s="30">
        <f>IF(C14=0,"",IF(F14&gt;1,"Over budget",IF(F14&gt;=0.8,"Watch","OK")))</f>
        <v/>
      </c>
    </row>
    <row r="15">
      <c r="B15" s="38">
        <f>Settings!$B$34</f>
        <v/>
      </c>
      <c r="C15" s="31" t="n">
        <v>300</v>
      </c>
      <c r="D15" s="33">
        <f>SUMIFS(Transactions!$E$5:$E$504,Transactions!$C$5:$C$504,B15,Transactions!$H$5:$H$504,$C$5,Transactions!$D$5:$D$504,"Expense")</f>
        <v/>
      </c>
      <c r="E15" s="33">
        <f>C15-D15</f>
        <v/>
      </c>
      <c r="F15" s="34">
        <f>IF(C15=0,0,D15/C15)</f>
        <v/>
      </c>
      <c r="G15" s="30">
        <f>IF(C15=0,"",IF(F15&gt;1,"Over budget",IF(F15&gt;=0.8,"Watch","OK")))</f>
        <v/>
      </c>
    </row>
    <row r="16">
      <c r="B16" s="35" t="inlineStr">
        <is>
          <t>Total</t>
        </is>
      </c>
      <c r="C16" s="36">
        <f>SUM(C8:C15)</f>
        <v/>
      </c>
      <c r="D16" s="36">
        <f>SUM(D8:D15)</f>
        <v/>
      </c>
      <c r="E16" s="36">
        <f>SUM(E8:E15)</f>
        <v/>
      </c>
      <c r="F16" s="39">
        <f>IF(C16=0,0,D16/C16)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7B"/>
  <conditionalFormatting sqref="F8:F15">
    <cfRule type="dataBar" priority="1">
      <dataBar>
        <cfvo type="num" val="0"/>
        <cfvo type="num" val="1"/>
        <color rgb="002A78D6"/>
      </dataBar>
    </cfRule>
  </conditionalFormatting>
  <conditionalFormatting sqref="G8:G15">
    <cfRule type="cellIs" priority="2" operator="equal" dxfId="2">
      <formula>"Over budget"</formula>
    </cfRule>
    <cfRule type="cellIs" priority="3" operator="equal" dxfId="5">
      <formula>"Watch"</formula>
    </cfRule>
    <cfRule type="cellIs" priority="4" operator="equal" dxfId="3">
      <formula>"OK"</formula>
    </cfRule>
  </conditionalFormatting>
  <dataValidations count="1">
    <dataValidation sqref="C5" showDropDown="0" showInputMessage="0" showErrorMessage="0" allowBlank="0" type="list">
      <formula1>=Settings!$B$14:$B$17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2">
      <c r="B2" s="25" t="inlineStr">
        <is>
          <t>Settings</t>
        </is>
      </c>
      <c r="F2" s="26" t="inlineStr">
        <is>
          <t>Yellow cells with blue text are inputs. Everything else is calculated.</t>
        </is>
      </c>
    </row>
    <row r="4">
      <c r="B4" s="35" t="inlineStr">
        <is>
          <t>Class name</t>
        </is>
      </c>
      <c r="C4" s="40" t="inlineStr">
        <is>
          <t>Class of 2029</t>
        </is>
      </c>
      <c r="F4" s="26" t="inlineStr">
        <is>
          <t>Shown as the dashboard title.</t>
        </is>
      </c>
    </row>
    <row r="5">
      <c r="B5" s="35" t="inlineStr">
        <is>
          <t>Starting balance</t>
        </is>
      </c>
      <c r="C5" s="41" t="n">
        <v>0</v>
      </c>
      <c r="F5" s="26" t="inlineStr">
        <is>
          <t>Money in the account before the first transaction logged.</t>
        </is>
      </c>
    </row>
    <row r="6">
      <c r="B6" s="35" t="inlineStr">
        <is>
          <t>Savings goal</t>
        </is>
      </c>
      <c r="C6" s="41" t="n">
        <v>15000</v>
      </c>
      <c r="F6" s="26" t="inlineStr">
        <is>
          <t>Target fund balance by the goal deadline (MS4).</t>
        </is>
      </c>
    </row>
    <row r="7">
      <c r="B7" s="35" t="inlineStr">
        <is>
          <t>Goal deadline</t>
        </is>
      </c>
      <c r="C7" s="42" t="n">
        <v>47239</v>
      </c>
      <c r="F7" s="26" t="inlineStr">
        <is>
          <t>Date the goal should be reached.</t>
        </is>
      </c>
    </row>
    <row r="12">
      <c r="B12" s="23" t="inlineStr">
        <is>
          <t>Class years &amp; milestones</t>
        </is>
      </c>
    </row>
    <row r="13" ht="30" customHeight="1">
      <c r="B13" s="27" t="inlineStr">
        <is>
          <t>Year</t>
        </is>
      </c>
      <c r="C13" s="27" t="inlineStr">
        <is>
          <t>Start date</t>
        </is>
      </c>
      <c r="D13" s="27" t="inlineStr">
        <is>
          <t>End date</t>
        </is>
      </c>
      <c r="E13" s="27" t="inlineStr">
        <is>
          <t>Milestone (% of goal by year end)</t>
        </is>
      </c>
    </row>
    <row r="14">
      <c r="B14" s="35" t="inlineStr">
        <is>
          <t>MS1</t>
        </is>
      </c>
      <c r="C14" s="42" t="n">
        <v>45870</v>
      </c>
      <c r="D14" s="42" t="n">
        <v>46234</v>
      </c>
      <c r="E14" s="43" t="n">
        <v>0.25</v>
      </c>
      <c r="F14" s="26" t="inlineStr">
        <is>
          <t>Dates decide which class year each transaction counts toward.</t>
        </is>
      </c>
    </row>
    <row r="15">
      <c r="B15" s="35" t="inlineStr">
        <is>
          <t>MS2</t>
        </is>
      </c>
      <c r="C15" s="42" t="n">
        <v>46235</v>
      </c>
      <c r="D15" s="42" t="n">
        <v>46599</v>
      </c>
      <c r="E15" s="43" t="n">
        <v>0.5</v>
      </c>
      <c r="F15" s="26" t="inlineStr">
        <is>
          <t>Milestones set the year-end target balance on the dashboard.</t>
        </is>
      </c>
    </row>
    <row r="16">
      <c r="B16" s="35" t="inlineStr">
        <is>
          <t>MS3</t>
        </is>
      </c>
      <c r="C16" s="42" t="n">
        <v>46600</v>
      </c>
      <c r="D16" s="42" t="n">
        <v>46965</v>
      </c>
      <c r="E16" s="43" t="n">
        <v>0.75</v>
      </c>
    </row>
    <row r="17">
      <c r="B17" s="35" t="inlineStr">
        <is>
          <t>MS4</t>
        </is>
      </c>
      <c r="C17" s="42" t="n">
        <v>46966</v>
      </c>
      <c r="D17" s="42" t="n">
        <v>47269</v>
      </c>
      <c r="E17" s="43" t="n">
        <v>1</v>
      </c>
    </row>
    <row r="19">
      <c r="B19" s="23" t="inlineStr">
        <is>
          <t>Categories</t>
        </is>
      </c>
    </row>
    <row r="20">
      <c r="B20" s="27" t="inlineStr">
        <is>
          <t>Category</t>
        </is>
      </c>
      <c r="C20" s="27" t="inlineStr">
        <is>
          <t>Type</t>
        </is>
      </c>
    </row>
    <row r="21">
      <c r="B21" s="40" t="inlineStr">
        <is>
          <t>Class Dues</t>
        </is>
      </c>
      <c r="C21" s="40" t="inlineStr">
        <is>
          <t>Income</t>
        </is>
      </c>
      <c r="F21" s="26" t="inlineStr">
        <is>
          <t>Rename categories freely. Type must be Income or Expense.</t>
        </is>
      </c>
    </row>
    <row r="22">
      <c r="B22" s="40" t="inlineStr">
        <is>
          <t>Fundraiser</t>
        </is>
      </c>
      <c r="C22" s="40" t="inlineStr">
        <is>
          <t>Income</t>
        </is>
      </c>
      <c r="F22" s="26" t="inlineStr">
        <is>
          <t>Milestone Events = White Coat, Match Day, graduation, etc.</t>
        </is>
      </c>
    </row>
    <row r="23">
      <c r="B23" s="40" t="inlineStr">
        <is>
          <t>Sponsorship</t>
        </is>
      </c>
      <c r="C23" s="40" t="inlineStr">
        <is>
          <t>Income</t>
        </is>
      </c>
    </row>
    <row r="24">
      <c r="B24" s="40" t="inlineStr">
        <is>
          <t>School Allocation</t>
        </is>
      </c>
      <c r="C24" s="40" t="inlineStr">
        <is>
          <t>Income</t>
        </is>
      </c>
    </row>
    <row r="25">
      <c r="B25" s="40" t="inlineStr">
        <is>
          <t>Donation</t>
        </is>
      </c>
      <c r="C25" s="40" t="inlineStr">
        <is>
          <t>Income</t>
        </is>
      </c>
    </row>
    <row r="26">
      <c r="B26" s="40" t="inlineStr">
        <is>
          <t>Other Income</t>
        </is>
      </c>
      <c r="C26" s="40" t="inlineStr">
        <is>
          <t>Income</t>
        </is>
      </c>
    </row>
    <row r="27">
      <c r="B27" s="40" t="inlineStr">
        <is>
          <t>Social Events</t>
        </is>
      </c>
      <c r="C27" s="40" t="inlineStr">
        <is>
          <t>Expense</t>
        </is>
      </c>
    </row>
    <row r="28">
      <c r="B28" s="40" t="inlineStr">
        <is>
          <t>Milestone Events</t>
        </is>
      </c>
      <c r="C28" s="40" t="inlineStr">
        <is>
          <t>Expense</t>
        </is>
      </c>
    </row>
    <row r="29">
      <c r="B29" s="40" t="inlineStr">
        <is>
          <t>Food &amp; Drinks</t>
        </is>
      </c>
      <c r="C29" s="40" t="inlineStr">
        <is>
          <t>Expense</t>
        </is>
      </c>
    </row>
    <row r="30">
      <c r="B30" s="40" t="inlineStr">
        <is>
          <t>Class Merchandise</t>
        </is>
      </c>
      <c r="C30" s="40" t="inlineStr">
        <is>
          <t>Expense</t>
        </is>
      </c>
    </row>
    <row r="31">
      <c r="B31" s="40" t="inlineStr">
        <is>
          <t>Fundraiser Costs</t>
        </is>
      </c>
      <c r="C31" s="40" t="inlineStr">
        <is>
          <t>Expense</t>
        </is>
      </c>
    </row>
    <row r="32">
      <c r="B32" s="40" t="inlineStr">
        <is>
          <t>Supplies &amp; Printing</t>
        </is>
      </c>
      <c r="C32" s="40" t="inlineStr">
        <is>
          <t>Expense</t>
        </is>
      </c>
    </row>
    <row r="33">
      <c r="B33" s="40" t="inlineStr">
        <is>
          <t>Gifts &amp; Awards</t>
        </is>
      </c>
      <c r="C33" s="40" t="inlineStr">
        <is>
          <t>Expense</t>
        </is>
      </c>
    </row>
    <row r="34">
      <c r="B34" s="40" t="inlineStr">
        <is>
          <t>Other Expense</t>
        </is>
      </c>
      <c r="C34" s="40" t="inlineStr">
        <is>
          <t>Expense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7B"/>
  <dataValidations count="1">
    <dataValidation sqref="C21:C34" showDropDown="0" showInputMessage="0" showErrorMessage="0" allowBlank="0" type="list">
      <formula1>"Income,Expense"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6" t="inlineStr">
        <is>
          <t>Helper calculations for dashboard charts. Do not edit.</t>
        </is>
      </c>
    </row>
    <row r="3">
      <c r="A3" t="inlineStr">
        <is>
          <t>Current month</t>
        </is>
      </c>
      <c r="B3" s="44">
        <f>DATE(YEAR(TODAY()),MONTH(TODAY()),1)</f>
        <v/>
      </c>
    </row>
    <row r="5">
      <c r="A5" s="27" t="inlineStr">
        <is>
          <t>Month</t>
        </is>
      </c>
      <c r="B5" s="27" t="inlineStr">
        <is>
          <t>Label</t>
        </is>
      </c>
      <c r="C5" s="27" t="inlineStr">
        <is>
          <t>Money In</t>
        </is>
      </c>
      <c r="D5" s="27" t="inlineStr">
        <is>
          <t>Money Out</t>
        </is>
      </c>
      <c r="E5" s="27" t="inlineStr">
        <is>
          <t>Fund Balance</t>
        </is>
      </c>
      <c r="F5" s="27" t="inlineStr">
        <is>
          <t>On-Pace Target</t>
        </is>
      </c>
    </row>
    <row r="6">
      <c r="A6" s="44">
        <f>EDATE($B$3,-11)</f>
        <v/>
      </c>
      <c r="B6">
        <f>TEXT(A6,"mmm yy")</f>
        <v/>
      </c>
      <c r="C6" s="45">
        <f>SUMIFS(Transactions!$E$5:$E$504,Transactions!$D$5:$D$504,"Income",Transactions!$A$5:$A$504,"&gt;="&amp;A6,Transactions!$A$5:$A$504,"&lt;"&amp;EDATE(A6,1))</f>
        <v/>
      </c>
      <c r="D6" s="45">
        <f>SUMIFS(Transactions!$E$5:$E$504,Transactions!$D$5:$D$504,"Expense",Transactions!$A$5:$A$504,"&gt;="&amp;A6,Transactions!$A$5:$A$504,"&lt;"&amp;EDATE(A6,1))</f>
        <v/>
      </c>
      <c r="E6" s="45">
        <f>Settings!$C$5+SUMIFS(Transactions!$I$5:$I$504,Transactions!$A$5:$A$504,"&lt;"&amp;EDATE(A6,1))</f>
        <v/>
      </c>
      <c r="F6" s="45">
        <f>MAX(Settings!$C$5,MIN(Settings!$C$6,Settings!$C$5+(Settings!$C$6-Settings!$C$5)*MAX(0,MIN(EDATE(A6,1),TODAY()+1)-Settings!$C$14)/(Settings!$C$7-Settings!$C$14)))</f>
        <v/>
      </c>
    </row>
    <row r="7">
      <c r="A7" s="44">
        <f>EDATE($B$3,-10)</f>
        <v/>
      </c>
      <c r="B7">
        <f>TEXT(A7,"mmm yy")</f>
        <v/>
      </c>
      <c r="C7" s="45">
        <f>SUMIFS(Transactions!$E$5:$E$504,Transactions!$D$5:$D$504,"Income",Transactions!$A$5:$A$504,"&gt;="&amp;A7,Transactions!$A$5:$A$504,"&lt;"&amp;EDATE(A7,1))</f>
        <v/>
      </c>
      <c r="D7" s="45">
        <f>SUMIFS(Transactions!$E$5:$E$504,Transactions!$D$5:$D$504,"Expense",Transactions!$A$5:$A$504,"&gt;="&amp;A7,Transactions!$A$5:$A$504,"&lt;"&amp;EDATE(A7,1))</f>
        <v/>
      </c>
      <c r="E7" s="45">
        <f>Settings!$C$5+SUMIFS(Transactions!$I$5:$I$504,Transactions!$A$5:$A$504,"&lt;"&amp;EDATE(A7,1))</f>
        <v/>
      </c>
      <c r="F7" s="45">
        <f>MAX(Settings!$C$5,MIN(Settings!$C$6,Settings!$C$5+(Settings!$C$6-Settings!$C$5)*MAX(0,MIN(EDATE(A7,1),TODAY()+1)-Settings!$C$14)/(Settings!$C$7-Settings!$C$14)))</f>
        <v/>
      </c>
    </row>
    <row r="8">
      <c r="A8" s="44">
        <f>EDATE($B$3,-9)</f>
        <v/>
      </c>
      <c r="B8">
        <f>TEXT(A8,"mmm yy")</f>
        <v/>
      </c>
      <c r="C8" s="45">
        <f>SUMIFS(Transactions!$E$5:$E$504,Transactions!$D$5:$D$504,"Income",Transactions!$A$5:$A$504,"&gt;="&amp;A8,Transactions!$A$5:$A$504,"&lt;"&amp;EDATE(A8,1))</f>
        <v/>
      </c>
      <c r="D8" s="45">
        <f>SUMIFS(Transactions!$E$5:$E$504,Transactions!$D$5:$D$504,"Expense",Transactions!$A$5:$A$504,"&gt;="&amp;A8,Transactions!$A$5:$A$504,"&lt;"&amp;EDATE(A8,1))</f>
        <v/>
      </c>
      <c r="E8" s="45">
        <f>Settings!$C$5+SUMIFS(Transactions!$I$5:$I$504,Transactions!$A$5:$A$504,"&lt;"&amp;EDATE(A8,1))</f>
        <v/>
      </c>
      <c r="F8" s="45">
        <f>MAX(Settings!$C$5,MIN(Settings!$C$6,Settings!$C$5+(Settings!$C$6-Settings!$C$5)*MAX(0,MIN(EDATE(A8,1),TODAY()+1)-Settings!$C$14)/(Settings!$C$7-Settings!$C$14)))</f>
        <v/>
      </c>
    </row>
    <row r="9">
      <c r="A9" s="44">
        <f>EDATE($B$3,-8)</f>
        <v/>
      </c>
      <c r="B9">
        <f>TEXT(A9,"mmm yy")</f>
        <v/>
      </c>
      <c r="C9" s="45">
        <f>SUMIFS(Transactions!$E$5:$E$504,Transactions!$D$5:$D$504,"Income",Transactions!$A$5:$A$504,"&gt;="&amp;A9,Transactions!$A$5:$A$504,"&lt;"&amp;EDATE(A9,1))</f>
        <v/>
      </c>
      <c r="D9" s="45">
        <f>SUMIFS(Transactions!$E$5:$E$504,Transactions!$D$5:$D$504,"Expense",Transactions!$A$5:$A$504,"&gt;="&amp;A9,Transactions!$A$5:$A$504,"&lt;"&amp;EDATE(A9,1))</f>
        <v/>
      </c>
      <c r="E9" s="45">
        <f>Settings!$C$5+SUMIFS(Transactions!$I$5:$I$504,Transactions!$A$5:$A$504,"&lt;"&amp;EDATE(A9,1))</f>
        <v/>
      </c>
      <c r="F9" s="45">
        <f>MAX(Settings!$C$5,MIN(Settings!$C$6,Settings!$C$5+(Settings!$C$6-Settings!$C$5)*MAX(0,MIN(EDATE(A9,1),TODAY()+1)-Settings!$C$14)/(Settings!$C$7-Settings!$C$14)))</f>
        <v/>
      </c>
    </row>
    <row r="10">
      <c r="A10" s="44">
        <f>EDATE($B$3,-7)</f>
        <v/>
      </c>
      <c r="B10">
        <f>TEXT(A10,"mmm yy")</f>
        <v/>
      </c>
      <c r="C10" s="45">
        <f>SUMIFS(Transactions!$E$5:$E$504,Transactions!$D$5:$D$504,"Income",Transactions!$A$5:$A$504,"&gt;="&amp;A10,Transactions!$A$5:$A$504,"&lt;"&amp;EDATE(A10,1))</f>
        <v/>
      </c>
      <c r="D10" s="45">
        <f>SUMIFS(Transactions!$E$5:$E$504,Transactions!$D$5:$D$504,"Expense",Transactions!$A$5:$A$504,"&gt;="&amp;A10,Transactions!$A$5:$A$504,"&lt;"&amp;EDATE(A10,1))</f>
        <v/>
      </c>
      <c r="E10" s="45">
        <f>Settings!$C$5+SUMIFS(Transactions!$I$5:$I$504,Transactions!$A$5:$A$504,"&lt;"&amp;EDATE(A10,1))</f>
        <v/>
      </c>
      <c r="F10" s="45">
        <f>MAX(Settings!$C$5,MIN(Settings!$C$6,Settings!$C$5+(Settings!$C$6-Settings!$C$5)*MAX(0,MIN(EDATE(A10,1),TODAY()+1)-Settings!$C$14)/(Settings!$C$7-Settings!$C$14)))</f>
        <v/>
      </c>
    </row>
    <row r="11">
      <c r="A11" s="44">
        <f>EDATE($B$3,-6)</f>
        <v/>
      </c>
      <c r="B11">
        <f>TEXT(A11,"mmm yy")</f>
        <v/>
      </c>
      <c r="C11" s="45">
        <f>SUMIFS(Transactions!$E$5:$E$504,Transactions!$D$5:$D$504,"Income",Transactions!$A$5:$A$504,"&gt;="&amp;A11,Transactions!$A$5:$A$504,"&lt;"&amp;EDATE(A11,1))</f>
        <v/>
      </c>
      <c r="D11" s="45">
        <f>SUMIFS(Transactions!$E$5:$E$504,Transactions!$D$5:$D$504,"Expense",Transactions!$A$5:$A$504,"&gt;="&amp;A11,Transactions!$A$5:$A$504,"&lt;"&amp;EDATE(A11,1))</f>
        <v/>
      </c>
      <c r="E11" s="45">
        <f>Settings!$C$5+SUMIFS(Transactions!$I$5:$I$504,Transactions!$A$5:$A$504,"&lt;"&amp;EDATE(A11,1))</f>
        <v/>
      </c>
      <c r="F11" s="45">
        <f>MAX(Settings!$C$5,MIN(Settings!$C$6,Settings!$C$5+(Settings!$C$6-Settings!$C$5)*MAX(0,MIN(EDATE(A11,1),TODAY()+1)-Settings!$C$14)/(Settings!$C$7-Settings!$C$14)))</f>
        <v/>
      </c>
    </row>
    <row r="12">
      <c r="A12" s="44">
        <f>EDATE($B$3,-5)</f>
        <v/>
      </c>
      <c r="B12">
        <f>TEXT(A12,"mmm yy")</f>
        <v/>
      </c>
      <c r="C12" s="45">
        <f>SUMIFS(Transactions!$E$5:$E$504,Transactions!$D$5:$D$504,"Income",Transactions!$A$5:$A$504,"&gt;="&amp;A12,Transactions!$A$5:$A$504,"&lt;"&amp;EDATE(A12,1))</f>
        <v/>
      </c>
      <c r="D12" s="45">
        <f>SUMIFS(Transactions!$E$5:$E$504,Transactions!$D$5:$D$504,"Expense",Transactions!$A$5:$A$504,"&gt;="&amp;A12,Transactions!$A$5:$A$504,"&lt;"&amp;EDATE(A12,1))</f>
        <v/>
      </c>
      <c r="E12" s="45">
        <f>Settings!$C$5+SUMIFS(Transactions!$I$5:$I$504,Transactions!$A$5:$A$504,"&lt;"&amp;EDATE(A12,1))</f>
        <v/>
      </c>
      <c r="F12" s="45">
        <f>MAX(Settings!$C$5,MIN(Settings!$C$6,Settings!$C$5+(Settings!$C$6-Settings!$C$5)*MAX(0,MIN(EDATE(A12,1),TODAY()+1)-Settings!$C$14)/(Settings!$C$7-Settings!$C$14)))</f>
        <v/>
      </c>
    </row>
    <row r="13">
      <c r="A13" s="44">
        <f>EDATE($B$3,-4)</f>
        <v/>
      </c>
      <c r="B13">
        <f>TEXT(A13,"mmm yy")</f>
        <v/>
      </c>
      <c r="C13" s="45">
        <f>SUMIFS(Transactions!$E$5:$E$504,Transactions!$D$5:$D$504,"Income",Transactions!$A$5:$A$504,"&gt;="&amp;A13,Transactions!$A$5:$A$504,"&lt;"&amp;EDATE(A13,1))</f>
        <v/>
      </c>
      <c r="D13" s="45">
        <f>SUMIFS(Transactions!$E$5:$E$504,Transactions!$D$5:$D$504,"Expense",Transactions!$A$5:$A$504,"&gt;="&amp;A13,Transactions!$A$5:$A$504,"&lt;"&amp;EDATE(A13,1))</f>
        <v/>
      </c>
      <c r="E13" s="45">
        <f>Settings!$C$5+SUMIFS(Transactions!$I$5:$I$504,Transactions!$A$5:$A$504,"&lt;"&amp;EDATE(A13,1))</f>
        <v/>
      </c>
      <c r="F13" s="45">
        <f>MAX(Settings!$C$5,MIN(Settings!$C$6,Settings!$C$5+(Settings!$C$6-Settings!$C$5)*MAX(0,MIN(EDATE(A13,1),TODAY()+1)-Settings!$C$14)/(Settings!$C$7-Settings!$C$14)))</f>
        <v/>
      </c>
    </row>
    <row r="14">
      <c r="A14" s="44">
        <f>EDATE($B$3,-3)</f>
        <v/>
      </c>
      <c r="B14">
        <f>TEXT(A14,"mmm yy")</f>
        <v/>
      </c>
      <c r="C14" s="45">
        <f>SUMIFS(Transactions!$E$5:$E$504,Transactions!$D$5:$D$504,"Income",Transactions!$A$5:$A$504,"&gt;="&amp;A14,Transactions!$A$5:$A$504,"&lt;"&amp;EDATE(A14,1))</f>
        <v/>
      </c>
      <c r="D14" s="45">
        <f>SUMIFS(Transactions!$E$5:$E$504,Transactions!$D$5:$D$504,"Expense",Transactions!$A$5:$A$504,"&gt;="&amp;A14,Transactions!$A$5:$A$504,"&lt;"&amp;EDATE(A14,1))</f>
        <v/>
      </c>
      <c r="E14" s="45">
        <f>Settings!$C$5+SUMIFS(Transactions!$I$5:$I$504,Transactions!$A$5:$A$504,"&lt;"&amp;EDATE(A14,1))</f>
        <v/>
      </c>
      <c r="F14" s="45">
        <f>MAX(Settings!$C$5,MIN(Settings!$C$6,Settings!$C$5+(Settings!$C$6-Settings!$C$5)*MAX(0,MIN(EDATE(A14,1),TODAY()+1)-Settings!$C$14)/(Settings!$C$7-Settings!$C$14)))</f>
        <v/>
      </c>
    </row>
    <row r="15">
      <c r="A15" s="44">
        <f>EDATE($B$3,-2)</f>
        <v/>
      </c>
      <c r="B15">
        <f>TEXT(A15,"mmm yy")</f>
        <v/>
      </c>
      <c r="C15" s="45">
        <f>SUMIFS(Transactions!$E$5:$E$504,Transactions!$D$5:$D$504,"Income",Transactions!$A$5:$A$504,"&gt;="&amp;A15,Transactions!$A$5:$A$504,"&lt;"&amp;EDATE(A15,1))</f>
        <v/>
      </c>
      <c r="D15" s="45">
        <f>SUMIFS(Transactions!$E$5:$E$504,Transactions!$D$5:$D$504,"Expense",Transactions!$A$5:$A$504,"&gt;="&amp;A15,Transactions!$A$5:$A$504,"&lt;"&amp;EDATE(A15,1))</f>
        <v/>
      </c>
      <c r="E15" s="45">
        <f>Settings!$C$5+SUMIFS(Transactions!$I$5:$I$504,Transactions!$A$5:$A$504,"&lt;"&amp;EDATE(A15,1))</f>
        <v/>
      </c>
      <c r="F15" s="45">
        <f>MAX(Settings!$C$5,MIN(Settings!$C$6,Settings!$C$5+(Settings!$C$6-Settings!$C$5)*MAX(0,MIN(EDATE(A15,1),TODAY()+1)-Settings!$C$14)/(Settings!$C$7-Settings!$C$14)))</f>
        <v/>
      </c>
    </row>
    <row r="16">
      <c r="A16" s="44">
        <f>EDATE($B$3,-1)</f>
        <v/>
      </c>
      <c r="B16">
        <f>TEXT(A16,"mmm yy")</f>
        <v/>
      </c>
      <c r="C16" s="45">
        <f>SUMIFS(Transactions!$E$5:$E$504,Transactions!$D$5:$D$504,"Income",Transactions!$A$5:$A$504,"&gt;="&amp;A16,Transactions!$A$5:$A$504,"&lt;"&amp;EDATE(A16,1))</f>
        <v/>
      </c>
      <c r="D16" s="45">
        <f>SUMIFS(Transactions!$E$5:$E$504,Transactions!$D$5:$D$504,"Expense",Transactions!$A$5:$A$504,"&gt;="&amp;A16,Transactions!$A$5:$A$504,"&lt;"&amp;EDATE(A16,1))</f>
        <v/>
      </c>
      <c r="E16" s="45">
        <f>Settings!$C$5+SUMIFS(Transactions!$I$5:$I$504,Transactions!$A$5:$A$504,"&lt;"&amp;EDATE(A16,1))</f>
        <v/>
      </c>
      <c r="F16" s="45">
        <f>MAX(Settings!$C$5,MIN(Settings!$C$6,Settings!$C$5+(Settings!$C$6-Settings!$C$5)*MAX(0,MIN(EDATE(A16,1),TODAY()+1)-Settings!$C$14)/(Settings!$C$7-Settings!$C$14)))</f>
        <v/>
      </c>
    </row>
    <row r="17">
      <c r="A17" s="44">
        <f>EDATE($B$3,0)</f>
        <v/>
      </c>
      <c r="B17">
        <f>TEXT(A17,"mmm yy")</f>
        <v/>
      </c>
      <c r="C17" s="45">
        <f>SUMIFS(Transactions!$E$5:$E$504,Transactions!$D$5:$D$504,"Income",Transactions!$A$5:$A$504,"&gt;="&amp;A17,Transactions!$A$5:$A$504,"&lt;"&amp;EDATE(A17,1))</f>
        <v/>
      </c>
      <c r="D17" s="45">
        <f>SUMIFS(Transactions!$E$5:$E$504,Transactions!$D$5:$D$504,"Expense",Transactions!$A$5:$A$504,"&gt;="&amp;A17,Transactions!$A$5:$A$504,"&lt;"&amp;EDATE(A17,1))</f>
        <v/>
      </c>
      <c r="E17" s="45">
        <f>Settings!$C$5+SUMIFS(Transactions!$I$5:$I$504,Transactions!$A$5:$A$504,"&lt;"&amp;EDATE(A17,1))</f>
        <v/>
      </c>
      <c r="F17" s="45">
        <f>MAX(Settings!$C$5,MIN(Settings!$C$6,Settings!$C$5+(Settings!$C$6-Settings!$C$5)*MAX(0,MIN(EDATE(A17,1),TODAY()+1)-Settings!$C$14)/(Settings!$C$7-Settings!$C$14)))</f>
        <v/>
      </c>
    </row>
    <row r="20">
      <c r="A20" s="27" t="inlineStr">
        <is>
          <t>Spending category</t>
        </is>
      </c>
      <c r="B20" s="27" t="inlineStr">
        <is>
          <t>All-time</t>
        </is>
      </c>
    </row>
    <row r="21">
      <c r="A21">
        <f>Settings!$B$27</f>
        <v/>
      </c>
      <c r="B21" s="45">
        <f>SUMIFS(Transactions!$E$5:$E$504,Transactions!$C$5:$C$504,A21,Transactions!$D$5:$D$504,"Expense")</f>
        <v/>
      </c>
    </row>
    <row r="22">
      <c r="A22">
        <f>Settings!$B$28</f>
        <v/>
      </c>
      <c r="B22" s="45">
        <f>SUMIFS(Transactions!$E$5:$E$504,Transactions!$C$5:$C$504,A22,Transactions!$D$5:$D$504,"Expense")</f>
        <v/>
      </c>
    </row>
    <row r="23">
      <c r="A23">
        <f>Settings!$B$29</f>
        <v/>
      </c>
      <c r="B23" s="45">
        <f>SUMIFS(Transactions!$E$5:$E$504,Transactions!$C$5:$C$504,A23,Transactions!$D$5:$D$504,"Expense")</f>
        <v/>
      </c>
    </row>
    <row r="24">
      <c r="A24">
        <f>Settings!$B$30</f>
        <v/>
      </c>
      <c r="B24" s="45">
        <f>SUMIFS(Transactions!$E$5:$E$504,Transactions!$C$5:$C$504,A24,Transactions!$D$5:$D$504,"Expense")</f>
        <v/>
      </c>
    </row>
    <row r="25">
      <c r="A25">
        <f>Settings!$B$31</f>
        <v/>
      </c>
      <c r="B25" s="45">
        <f>SUMIFS(Transactions!$E$5:$E$504,Transactions!$C$5:$C$504,A25,Transactions!$D$5:$D$504,"Expense")</f>
        <v/>
      </c>
    </row>
    <row r="26">
      <c r="A26">
        <f>Settings!$B$32</f>
        <v/>
      </c>
      <c r="B26" s="45">
        <f>SUMIFS(Transactions!$E$5:$E$504,Transactions!$C$5:$C$504,A26,Transactions!$D$5:$D$504,"Expense")</f>
        <v/>
      </c>
    </row>
    <row r="27">
      <c r="A27">
        <f>Settings!$B$33</f>
        <v/>
      </c>
      <c r="B27" s="45">
        <f>SUMIFS(Transactions!$E$5:$E$504,Transactions!$C$5:$C$504,A27,Transactions!$D$5:$D$504,"Expense")</f>
        <v/>
      </c>
    </row>
    <row r="28">
      <c r="A28">
        <f>Settings!$B$34</f>
        <v/>
      </c>
      <c r="B28" s="45">
        <f>SUMIFS(Transactions!$E$5:$E$504,Transactions!$C$5:$C$504,A28,Transactions!$D$5:$D$504,"Expense")</f>
        <v/>
      </c>
    </row>
    <row r="32">
      <c r="A32" s="27" t="inlineStr">
        <is>
          <t>Income source</t>
        </is>
      </c>
      <c r="B32" s="27" t="inlineStr">
        <is>
          <t>All-time</t>
        </is>
      </c>
    </row>
    <row r="33">
      <c r="A33">
        <f>Settings!$B$21</f>
        <v/>
      </c>
      <c r="B33" s="45">
        <f>SUMIFS(Transactions!$E$5:$E$504,Transactions!$C$5:$C$504,A33,Transactions!$D$5:$D$504,"Income")</f>
        <v/>
      </c>
    </row>
    <row r="34">
      <c r="A34">
        <f>Settings!$B$22</f>
        <v/>
      </c>
      <c r="B34" s="45">
        <f>SUMIFS(Transactions!$E$5:$E$504,Transactions!$C$5:$C$504,A34,Transactions!$D$5:$D$504,"Income")</f>
        <v/>
      </c>
    </row>
    <row r="35">
      <c r="A35">
        <f>Settings!$B$23</f>
        <v/>
      </c>
      <c r="B35" s="45">
        <f>SUMIFS(Transactions!$E$5:$E$504,Transactions!$C$5:$C$504,A35,Transactions!$D$5:$D$504,"Income")</f>
        <v/>
      </c>
    </row>
    <row r="36">
      <c r="A36">
        <f>Settings!$B$24</f>
        <v/>
      </c>
      <c r="B36" s="45">
        <f>SUMIFS(Transactions!$E$5:$E$504,Transactions!$C$5:$C$504,A36,Transactions!$D$5:$D$504,"Income")</f>
        <v/>
      </c>
    </row>
    <row r="37">
      <c r="A37">
        <f>Settings!$B$25</f>
        <v/>
      </c>
      <c r="B37" s="45">
        <f>SUMIFS(Transactions!$E$5:$E$504,Transactions!$C$5:$C$504,A37,Transactions!$D$5:$D$504,"Income")</f>
        <v/>
      </c>
    </row>
    <row r="38">
      <c r="A38">
        <f>Settings!$B$26</f>
        <v/>
      </c>
      <c r="B38" s="45">
        <f>SUMIFS(Transactions!$E$5:$E$504,Transactions!$C$5:$C$504,A38,Transactions!$D$5:$D$504,"Income")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7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2026-10-23T18:44:41Z</dcterms:created>
  <dcterms:modified xmlns:dcterms="http://purl.org/dc/terms/" xmlns:xsi="http://www.w3.org/2001/XMLSchema-instance" xsi:type="dcterms:W3CDTF">2026-10-23T18:44:42Z</dcterms:modified>
</cp:coreProperties>
</file>